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PL" sheetId="5" state="visible" r:id="rId7"/>
    <sheet name="CF" sheetId="6" state="visible" r:id="rId8"/>
    <sheet name="Credit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bs_rr" vbProcedure="false">In!$E$114</definedName>
    <definedName function="false" hidden="false" name="abs_sh" vbProcedure="false">In!$E$69</definedName>
    <definedName function="false" hidden="false" name="ally_cap" vbProcedure="false">In!$E$111</definedName>
    <definedName function="false" hidden="false" name="an_tgt" vbProcedure="false">In!$E$147</definedName>
    <definedName function="false" hidden="false" name="ap_pct" vbProcedure="false">In!$E$68</definedName>
    <definedName function="false" hidden="false" name="asp_g" vbProcedure="false">In!$E$29</definedName>
    <definedName function="false" hidden="false" name="asp_g_hi" vbProcedure="false">In!$F$29</definedName>
    <definedName function="false" hidden="false" name="asp_g_lo" vbProcedure="false">In!$D$29</definedName>
    <definedName function="false" hidden="false" name="asp_q4" vbProcedure="false">In!$E$28</definedName>
    <definedName function="false" hidden="false" name="asp_q4_hi" vbProcedure="false">In!$F$28</definedName>
    <definedName function="false" hidden="false" name="asp_q4_lo" vbProcedure="false">In!$D$28</definedName>
    <definedName function="false" hidden="false" name="beta" vbProcedure="false">In!$E$125</definedName>
    <definedName function="false" hidden="false" name="beta_hi" vbProcedure="false">In!$F$125</definedName>
    <definedName function="false" hidden="false" name="beta_lo" vbProcedure="false">In!$D$125</definedName>
    <definedName function="false" hidden="false" name="beta_raw" vbProcedure="false">In!$E$124</definedName>
    <definedName function="false" hidden="false" name="bi_adv" vbProcedure="false">In!$E$71</definedName>
    <definedName function="false" hidden="false" name="bi_r" vbProcedure="false">In!$E$96</definedName>
    <definedName function="false" hidden="false" name="bi_ret" vbProcedure="false">In!$E$70</definedName>
    <definedName function="false" hidden="false" name="bi_r_hi" vbProcedure="false">In!$F$96</definedName>
    <definedName function="false" hidden="false" name="bi_r_lo" vbProcedure="false">In!$D$96</definedName>
    <definedName function="false" hidden="false" name="capcost" vbProcedure="false">In!$E$26</definedName>
    <definedName function="false" hidden="false" name="capcost_hi" vbProcedure="false">In!$F$26</definedName>
    <definedName function="false" hidden="false" name="capcost_lo" vbProcedure="false">In!$D$26</definedName>
    <definedName function="false" hidden="false" name="capex_q4" vbProcedure="false">In!$E$61</definedName>
    <definedName function="false" hidden="false" name="capex_q4_hi" vbProcedure="false">In!$F$61</definedName>
    <definedName function="false" hidden="false" name="capex_q4_lo" vbProcedure="false">In!$D$61</definedName>
    <definedName function="false" hidden="false" name="cap_0" vbProcedure="false">In!$E$24</definedName>
    <definedName function="false" hidden="false" name="cash_cap" vbProcedure="false">In!$E$107</definedName>
    <definedName function="false" hidden="false" name="cash_cap_hi" vbProcedure="false">In!$F$107</definedName>
    <definedName function="false" hidden="false" name="cash_cap_lo" vbProcedure="false">In!$D$107</definedName>
    <definedName function="false" hidden="false" name="cash_y" vbProcedure="false">In!$E$103</definedName>
    <definedName function="false" hidden="false" name="cash_y_hi" vbProcedure="false">In!$F$103</definedName>
    <definedName function="false" hidden="false" name="cash_y_lo" vbProcedure="false">In!$D$103</definedName>
    <definedName function="false" hidden="false" name="cons_q3_ebitda" vbProcedure="false">In!$E$142</definedName>
    <definedName function="false" hidden="false" name="cons_q3_gpo" vbProcedure="false">In!$E$144</definedName>
    <definedName function="false" hidden="false" name="cons_q3_gpr" vbProcedure="false">In!$E$143</definedName>
    <definedName function="false" hidden="false" name="cons_q3_gpw" vbProcedure="false">In!$E$145</definedName>
    <definedName function="false" hidden="false" name="cons_q3_rev" vbProcedure="false">In!$E$146</definedName>
    <definedName function="false" hidden="false" name="cons_q3_units" vbProcedure="false">In!$E$141</definedName>
    <definedName function="false" hidden="false" name="ctr" vbProcedure="false">In!$E$76</definedName>
    <definedName function="false" hidden="false" name="ctr_hi" vbProcedure="false">In!$F$76</definedName>
    <definedName function="false" hidden="false" name="ctr_lo" vbProcedure="false">In!$D$76</definedName>
    <definedName function="false" hidden="false" name="d25_bi" vbProcedure="false">Q!$G$30</definedName>
    <definedName function="false" hidden="false" name="d25_cash" vbProcedure="false">Q!$G$27</definedName>
    <definedName function="false" hidden="false" name="d25_debt_bs" vbProcedure="false">Q!$G$31</definedName>
    <definedName function="false" hidden="false" name="d25_frhfs" vbProcedure="false">Q!$G$29</definedName>
    <definedName function="false" hidden="false" name="d25_inv" vbProcedure="false">Q!$G$28</definedName>
    <definedName function="false" hidden="false" name="da_q4" vbProcedure="false">In!$E$57</definedName>
    <definedName function="false" hidden="false" name="dcnl_C" vbProcedure="false">In!$E$118</definedName>
    <definedName function="false" hidden="false" name="dcnl_C_hi" vbProcedure="false">In!$F$118</definedName>
    <definedName function="false" hidden="false" name="dcnl_C_lo" vbProcedure="false">In!$D$118</definedName>
    <definedName function="false" hidden="false" name="dspr_C" vbProcedure="false">In!$E$120</definedName>
    <definedName function="false" hidden="false" name="dspr_C_hi" vbProcedure="false">In!$F$120</definedName>
    <definedName function="false" hidden="false" name="dspr_C_lo" vbProcedure="false">In!$D$120</definedName>
    <definedName function="false" hidden="false" name="dur" vbProcedure="false">In!$E$121</definedName>
    <definedName function="false" hidden="false" name="dur_hi" vbProcedure="false">In!$F$121</definedName>
    <definedName function="false" hidden="false" name="dur_lo" vbProcedure="false">In!$D$121</definedName>
    <definedName function="false" hidden="false" name="eff_A" vbProcedure="false">In!$E$54</definedName>
    <definedName function="false" hidden="false" name="eff_A_hi" vbProcedure="false">In!$F$54</definedName>
    <definedName function="false" hidden="false" name="eff_A_lo" vbProcedure="false">In!$D$54</definedName>
    <definedName function="false" hidden="false" name="eff_B" vbProcedure="false">In!$E$55</definedName>
    <definedName function="false" hidden="false" name="eff_B_hi" vbProcedure="false">In!$F$55</definedName>
    <definedName function="false" hidden="false" name="eff_B_lo" vbProcedure="false">In!$D$55</definedName>
    <definedName function="false" hidden="false" name="eff_C" vbProcedure="false">In!$E$56</definedName>
    <definedName function="false" hidden="false" name="eff_C_hi" vbProcedure="false">In!$F$56</definedName>
    <definedName function="false" hidden="false" name="eff_C_lo" vbProcedure="false">In!$D$56</definedName>
    <definedName function="false" hidden="false" name="erp" vbProcedure="false">In!$E$126</definedName>
    <definedName function="false" hidden="false" name="etr_26" vbProcedure="false">In!$E$73</definedName>
    <definedName function="false" hidden="false" name="etr_27" vbProcedure="false">In!$E$74</definedName>
    <definedName function="false" hidden="false" name="etr_27_hi" vbProcedure="false">In!$F$74</definedName>
    <definedName function="false" hidden="false" name="etr_27_lo" vbProcedure="false">In!$D$74</definedName>
    <definedName function="false" hidden="false" name="etr_30" vbProcedure="false">In!$E$75</definedName>
    <definedName function="false" hidden="false" name="etr_30_hi" vbProcedure="false">In!$F$75</definedName>
    <definedName function="false" hidden="false" name="etr_30_lo" vbProcedure="false">In!$D$75</definedName>
    <definedName function="false" hidden="false" name="finls" vbProcedure="false">In!$E$99</definedName>
    <definedName function="false" hidden="false" name="finls_r" vbProcedure="false">In!$E$100</definedName>
    <definedName function="false" hidden="false" name="fleet" vbProcedure="false">In!$E$97</definedName>
    <definedName function="false" hidden="false" name="fleet_r" vbProcedure="false">In!$E$98</definedName>
    <definedName function="false" hidden="false" name="fp_r" vbProcedure="false">In!$E$102</definedName>
    <definedName function="false" hidden="false" name="fp_ratio" vbProcedure="false">In!$E$101</definedName>
    <definedName function="false" hidden="false" name="fp_unused" vbProcedure="false">In!$E$112</definedName>
    <definedName function="false" hidden="false" name="fp_yrs" vbProcedure="false">In!$E$113</definedName>
    <definedName function="false" hidden="false" name="fr_d" vbProcedure="false">In!$E$67</definedName>
    <definedName function="false" hidden="false" name="fr_d_hi" vbProcedure="false">In!$F$67</definedName>
    <definedName function="false" hidden="false" name="fr_d_lo" vbProcedure="false">In!$D$67</definedName>
    <definedName function="false" hidden="false" name="fy25_adj_ebitda" vbProcedure="false">Q!$M$19</definedName>
    <definedName function="false" hidden="false" name="fy25_capex" vbProcedure="false">Q!$M$25</definedName>
    <definedName function="false" hidden="false" name="fy25_cfo" vbProcedure="false">Q!$M$26</definedName>
    <definedName function="false" hidden="false" name="fy25_da" vbProcedure="false">Q!$M$14</definedName>
    <definedName function="false" hidden="false" name="fy25_gos" vbProcedure="false">Q!$M$17</definedName>
    <definedName function="false" hidden="false" name="fy25_gp_ret" vbProcedure="false">Q!$M$10</definedName>
    <definedName function="false" hidden="false" name="fy25_gp_whs" vbProcedure="false">Q!$M$11</definedName>
    <definedName function="false" hidden="false" name="fy25_int" vbProcedure="false">Q!$M$20</definedName>
    <definedName function="false" hidden="false" name="fy25_ni" vbProcedure="false">Q!$M$23</definedName>
    <definedName function="false" hidden="false" name="fy25_oi" vbProcedure="false">Q!$M$13</definedName>
    <definedName function="false" hidden="false" name="fy25_orig" vbProcedure="false">Q!$M$16</definedName>
    <definedName function="false" hidden="false" name="fy25_oth_exp" vbProcedure="false">Q!$M$21</definedName>
    <definedName function="false" hidden="false" name="fy25_rev_oth" vbProcedure="false">Q!$M$8</definedName>
    <definedName function="false" hidden="false" name="fy25_rev_ret" vbProcedure="false">Q!$M$6</definedName>
    <definedName function="false" hidden="false" name="fy25_rev_whs" vbProcedure="false">Q!$M$7</definedName>
    <definedName function="false" hidden="false" name="fy25_sbc" vbProcedure="false">Q!$M$15</definedName>
    <definedName function="false" hidden="false" name="fy25_sga" vbProcedure="false">Q!$M$12</definedName>
    <definedName function="false" hidden="false" name="fy25_tax" vbProcedure="false">Q!$M$22</definedName>
    <definedName function="false" hidden="false" name="fy25_units" vbProcedure="false">Q!$M$4</definedName>
    <definedName function="false" hidden="false" name="fy25_warrant" vbProcedure="false">Q!$M$18</definedName>
    <definedName function="false" hidden="false" name="g27_A" vbProcedure="false">In!$E$11</definedName>
    <definedName function="false" hidden="false" name="g27_A_hi" vbProcedure="false">In!$F$11</definedName>
    <definedName function="false" hidden="false" name="g27_A_lo" vbProcedure="false">In!$D$11</definedName>
    <definedName function="false" hidden="false" name="g27_B" vbProcedure="false">In!$E$15</definedName>
    <definedName function="false" hidden="false" name="g27_B_hi" vbProcedure="false">In!$F$15</definedName>
    <definedName function="false" hidden="false" name="g27_B_lo" vbProcedure="false">In!$D$15</definedName>
    <definedName function="false" hidden="false" name="g27_C" vbProcedure="false">In!$E$19</definedName>
    <definedName function="false" hidden="false" name="g27_C_hi" vbProcedure="false">In!$F$19</definedName>
    <definedName function="false" hidden="false" name="g27_C_lo" vbProcedure="false">In!$D$19</definedName>
    <definedName function="false" hidden="false" name="g28_A" vbProcedure="false">In!$E$12</definedName>
    <definedName function="false" hidden="false" name="g28_A_hi" vbProcedure="false">In!$F$12</definedName>
    <definedName function="false" hidden="false" name="g28_A_lo" vbProcedure="false">In!$D$12</definedName>
    <definedName function="false" hidden="false" name="g28_B" vbProcedure="false">In!$E$16</definedName>
    <definedName function="false" hidden="false" name="g28_B_hi" vbProcedure="false">In!$F$16</definedName>
    <definedName function="false" hidden="false" name="g28_B_lo" vbProcedure="false">In!$D$16</definedName>
    <definedName function="false" hidden="false" name="g28_C" vbProcedure="false">In!$E$20</definedName>
    <definedName function="false" hidden="false" name="g28_C_hi" vbProcedure="false">In!$F$20</definedName>
    <definedName function="false" hidden="false" name="g28_C_lo" vbProcedure="false">In!$D$20</definedName>
    <definedName function="false" hidden="false" name="g30_A" vbProcedure="false">In!$E$13</definedName>
    <definedName function="false" hidden="false" name="g30_A_hi" vbProcedure="false">In!$F$13</definedName>
    <definedName function="false" hidden="false" name="g30_A_lo" vbProcedure="false">In!$D$13</definedName>
    <definedName function="false" hidden="false" name="g30_B" vbProcedure="false">In!$E$17</definedName>
    <definedName function="false" hidden="false" name="g30_B_hi" vbProcedure="false">In!$F$17</definedName>
    <definedName function="false" hidden="false" name="g30_B_lo" vbProcedure="false">In!$D$17</definedName>
    <definedName function="false" hidden="false" name="g30_C" vbProcedure="false">In!$E$21</definedName>
    <definedName function="false" hidden="false" name="g30_C_hi" vbProcedure="false">In!$F$21</definedName>
    <definedName function="false" hidden="false" name="g30_C_lo" vbProcedure="false">In!$D$21</definedName>
    <definedName function="false" hidden="false" name="g35_A" vbProcedure="false">In!$E$14</definedName>
    <definedName function="false" hidden="false" name="g35_A_hi" vbProcedure="false">In!$F$14</definedName>
    <definedName function="false" hidden="false" name="g35_A_lo" vbProcedure="false">In!$D$14</definedName>
    <definedName function="false" hidden="false" name="g35_B" vbProcedure="false">In!$E$18</definedName>
    <definedName function="false" hidden="false" name="g35_B_hi" vbProcedure="false">In!$F$18</definedName>
    <definedName function="false" hidden="false" name="g35_B_lo" vbProcedure="false">In!$D$18</definedName>
    <definedName function="false" hidden="false" name="g35_C" vbProcedure="false">In!$E$22</definedName>
    <definedName function="false" hidden="false" name="g35_C_hi" vbProcedure="false">In!$F$22</definedName>
    <definedName function="false" hidden="false" name="g35_C_lo" vbProcedure="false">In!$D$22</definedName>
    <definedName function="false" hidden="false" name="gos27_A" vbProcedure="false">In!$E$42</definedName>
    <definedName function="false" hidden="false" name="gos27_A_hi" vbProcedure="false">In!$F$42</definedName>
    <definedName function="false" hidden="false" name="gos27_A_lo" vbProcedure="false">In!$D$42</definedName>
    <definedName function="false" hidden="false" name="gos27_B" vbProcedure="false">In!$E$44</definedName>
    <definedName function="false" hidden="false" name="gos27_B_hi" vbProcedure="false">In!$F$44</definedName>
    <definedName function="false" hidden="false" name="gos27_B_lo" vbProcedure="false">In!$D$44</definedName>
    <definedName function="false" hidden="false" name="gos27_C" vbProcedure="false">In!$E$46</definedName>
    <definedName function="false" hidden="false" name="gosLT_A" vbProcedure="false">In!$E$43</definedName>
    <definedName function="false" hidden="false" name="gosLT_A_hi" vbProcedure="false">In!$F$43</definedName>
    <definedName function="false" hidden="false" name="gosLT_A_lo" vbProcedure="false">In!$D$43</definedName>
    <definedName function="false" hidden="false" name="gosLT_B" vbProcedure="false">In!$E$45</definedName>
    <definedName function="false" hidden="false" name="gosLT_B_hi" vbProcedure="false">In!$F$45</definedName>
    <definedName function="false" hidden="false" name="gosLT_B_lo" vbProcedure="false">In!$D$45</definedName>
    <definedName function="false" hidden="false" name="gosLT_C" vbProcedure="false">In!$E$47</definedName>
    <definedName function="false" hidden="false" name="gosLT_C_hi" vbProcedure="false">In!$F$47</definedName>
    <definedName function="false" hidden="false" name="gosLT_C_lo" vbProcedure="false">In!$D$47</definedName>
    <definedName function="false" hidden="false" name="gos_h2" vbProcedure="false">In!$E$41</definedName>
    <definedName function="false" hidden="false" name="gos_h2_hi" vbProcedure="false">In!$F$41</definedName>
    <definedName function="false" hidden="false" name="gos_h2_lo" vbProcedure="false">In!$D$41</definedName>
    <definedName function="false" hidden="false" name="gpr27_A" vbProcedure="false">In!$E$32</definedName>
    <definedName function="false" hidden="false" name="gpr27_A_hi" vbProcedure="false">In!$F$32</definedName>
    <definedName function="false" hidden="false" name="gpr27_A_lo" vbProcedure="false">In!$D$32</definedName>
    <definedName function="false" hidden="false" name="gpr27_B" vbProcedure="false">In!$E$34</definedName>
    <definedName function="false" hidden="false" name="gpr27_B_hi" vbProcedure="false">In!$F$34</definedName>
    <definedName function="false" hidden="false" name="gpr27_B_lo" vbProcedure="false">In!$D$34</definedName>
    <definedName function="false" hidden="false" name="gpr27_C" vbProcedure="false">In!$E$36</definedName>
    <definedName function="false" hidden="false" name="gpr27_C_hi" vbProcedure="false">In!$F$36</definedName>
    <definedName function="false" hidden="false" name="gpr27_C_lo" vbProcedure="false">In!$D$36</definedName>
    <definedName function="false" hidden="false" name="gprLT_A" vbProcedure="false">In!$E$33</definedName>
    <definedName function="false" hidden="false" name="gprLT_A_hi" vbProcedure="false">In!$F$33</definedName>
    <definedName function="false" hidden="false" name="gprLT_A_lo" vbProcedure="false">In!$D$33</definedName>
    <definedName function="false" hidden="false" name="gprLT_B" vbProcedure="false">In!$E$35</definedName>
    <definedName function="false" hidden="false" name="gprLT_B_hi" vbProcedure="false">In!$F$35</definedName>
    <definedName function="false" hidden="false" name="gprLT_B_lo" vbProcedure="false">In!$D$35</definedName>
    <definedName function="false" hidden="false" name="gprLT_C" vbProcedure="false">In!$E$37</definedName>
    <definedName function="false" hidden="false" name="gprLT_C_hi" vbProcedure="false">In!$F$37</definedName>
    <definedName function="false" hidden="false" name="gprLT_C_lo" vbProcedure="false">In!$D$37</definedName>
    <definedName function="false" hidden="false" name="gpr_q4" vbProcedure="false">In!$E$31</definedName>
    <definedName function="false" hidden="false" name="gpr_q4_hi" vbProcedure="false">In!$F$31</definedName>
    <definedName function="false" hidden="false" name="gpr_q4_lo" vbProcedure="false">In!$D$31</definedName>
    <definedName function="false" hidden="false" name="gpw27_C" vbProcedure="false">In!$E$39</definedName>
    <definedName function="false" hidden="false" name="gpw27_C_hi" vbProcedure="false">In!$F$39</definedName>
    <definedName function="false" hidden="false" name="gpw27_C_lo" vbProcedure="false">In!$D$39</definedName>
    <definedName function="false" hidden="false" name="gpw_h2" vbProcedure="false">In!$E$38</definedName>
    <definedName function="false" hidden="false" name="gpw_h2_hi" vbProcedure="false">In!$F$38</definedName>
    <definedName function="false" hidden="false" name="gpw_h2_lo" vbProcedure="false">In!$D$38</definedName>
    <definedName function="false" hidden="false" name="guide_hi" vbProcedure="false">In!$E$139</definedName>
    <definedName function="false" hidden="false" name="guide_lo" vbProcedure="false">In!$E$138</definedName>
    <definedName function="false" hidden="false" name="g_tv" vbProcedure="false">In!$E$129</definedName>
    <definedName function="false" hidden="false" name="g_tv_hi" vbProcedure="false">In!$F$129</definedName>
    <definedName function="false" hidden="false" name="g_tv_lo" vbProcedure="false">In!$D$129</definedName>
    <definedName function="false" hidden="false" name="infl" vbProcedure="false">In!$E$53</definedName>
    <definedName function="false" hidden="false" name="infl_hi" vbProcedure="false">In!$F$53</definedName>
    <definedName function="false" hidden="false" name="infl_lo" vbProcedure="false">In!$D$53</definedName>
    <definedName function="false" hidden="false" name="int_cal" vbProcedure="false">CF!$C$9</definedName>
    <definedName function="false" hidden="false" name="int_lq" vbProcedure="false">In!$E$104</definedName>
    <definedName function="false" hidden="false" name="inv_d" vbProcedure="false">In!$E$64</definedName>
    <definedName function="false" hidden="false" name="inv_d_C" vbProcedure="false">In!$E$65</definedName>
    <definedName function="false" hidden="false" name="inv_d_C28" vbProcedure="false">In!$E$66</definedName>
    <definedName function="false" hidden="false" name="inv_d_C28_hi" vbProcedure="false">In!$F$66</definedName>
    <definedName function="false" hidden="false" name="inv_d_C28_lo" vbProcedure="false">In!$D$66</definedName>
    <definedName function="false" hidden="false" name="inv_d_C_hi" vbProcedure="false">In!$F$65</definedName>
    <definedName function="false" hidden="false" name="inv_d_C_lo" vbProcedure="false">In!$D$65</definedName>
    <definedName function="false" hidden="false" name="inv_d_hi" vbProcedure="false">In!$F$64</definedName>
    <definedName function="false" hidden="false" name="inv_d_lo" vbProcedure="false">In!$D$64</definedName>
    <definedName function="false" hidden="false" name="kd" vbProcedure="false">In!$E$127</definedName>
    <definedName function="false" hidden="false" name="life" vbProcedure="false">In!$E$58</definedName>
    <definedName function="false" hidden="false" name="life_hi" vbProcedure="false">In!$F$58</definedName>
    <definedName function="false" hidden="false" name="life_lo" vbProcedure="false">In!$D$58</definedName>
    <definedName function="false" hidden="false" name="loss_pt" vbProcedure="false">In!$E$119</definedName>
    <definedName function="false" hidden="false" name="loss_pt_hi" vbProcedure="false">In!$F$119</definedName>
    <definedName function="false" hidden="false" name="loss_pt_lo" vbProcedure="false">In!$D$119</definedName>
    <definedName function="false" hidden="false" name="lq_bi" vbProcedure="false">Q!$J$30</definedName>
    <definedName function="false" hidden="false" name="lq_capex" vbProcedure="false">Q!$J$25</definedName>
    <definedName function="false" hidden="false" name="lq_cash" vbProcedure="false">Q!$J$27</definedName>
    <definedName function="false" hidden="false" name="lq_debt_bs" vbProcedure="false">Q!$J$31</definedName>
    <definedName function="false" hidden="false" name="lq_ebitda" vbProcedure="false">Q!$J$19</definedName>
    <definedName function="false" hidden="false" name="lq_frhfs" vbProcedure="false">Q!$J$29</definedName>
    <definedName function="false" hidden="false" name="lq_gos" vbProcedure="false">Q!$J$17</definedName>
    <definedName function="false" hidden="false" name="lq_int" vbProcedure="false">Q!$J$20</definedName>
    <definedName function="false" hidden="false" name="lq_inv" vbProcedure="false">Q!$J$28</definedName>
    <definedName function="false" hidden="false" name="lq_orig" vbProcedure="false">Q!$J$16</definedName>
    <definedName function="false" hidden="false" name="lq_units" vbProcedure="false">Q!$J$4</definedName>
    <definedName function="false" hidden="false" name="mcx" vbProcedure="false">In!$E$62</definedName>
    <definedName function="false" hidden="false" name="mcx_hi" vbProcedure="false">In!$F$62</definedName>
    <definedName function="false" hidden="false" name="mcx_lo" vbProcedure="false">In!$D$62</definedName>
    <definedName function="false" hidden="false" name="min_cash" vbProcedure="false">In!$E$108</definedName>
    <definedName function="false" hidden="false" name="min_cash_hi" vbProcedure="false">In!$F$108</definedName>
    <definedName function="false" hidden="false" name="min_cash_lo" vbProcedure="false">In!$D$108</definedName>
    <definedName function="false" hidden="false" name="moody_cov" vbProcedure="false">In!$E$149</definedName>
    <definedName function="false" hidden="false" name="moody_lev" vbProcedure="false">In!$E$148</definedName>
    <definedName function="false" hidden="false" name="ncitax" vbProcedure="false">In!$E$80</definedName>
    <definedName function="false" hidden="false" name="new_r_sp" vbProcedure="false">In!$E$109</definedName>
    <definedName function="false" hidden="false" name="om_tgt" vbProcedure="false">In!$E$140</definedName>
    <definedName function="false" hidden="false" name="opu" vbProcedure="false">In!$E$40</definedName>
    <definedName function="false" hidden="false" name="oth_g" vbProcedure="false">In!$E$49</definedName>
    <definedName function="false" hidden="false" name="oth_g_hi" vbProcedure="false">In!$F$49</definedName>
    <definedName function="false" hidden="false" name="oth_g_lo" vbProcedure="false">In!$D$49</definedName>
    <definedName function="false" hidden="false" name="oth_pu" vbProcedure="false">In!$E$48</definedName>
    <definedName function="false" hidden="false" name="peer_an" vbProcedure="false">In!$E$131</definedName>
    <definedName function="false" hidden="false" name="peer_lad" vbProcedure="false">In!$E$130</definedName>
    <definedName function="false" hidden="false" name="prem" vbProcedure="false">In!$E$132</definedName>
    <definedName function="false" hidden="false" name="prem_hi" vbProcedure="false">In!$F$132</definedName>
    <definedName function="false" hidden="false" name="prem_lo" vbProcedure="false">In!$D$132</definedName>
    <definedName function="false" hidden="false" name="px" vbProcedure="false">In!$E$5</definedName>
    <definedName function="false" hidden="false" name="p_A" vbProcedure="false">In!$E$134</definedName>
    <definedName function="false" hidden="false" name="p_B" vbProcedure="false">In!$E$135</definedName>
    <definedName function="false" hidden="false" name="p_C" vbProcedure="false">In!$E$136</definedName>
    <definedName function="false" hidden="false" name="q4_adj" vbProcedure="false">In!$E$9</definedName>
    <definedName function="false" hidden="false" name="q4_adj_hi" vbProcedure="false">In!$F$9</definedName>
    <definedName function="false" hidden="false" name="q4_adj_lo" vbProcedure="false">In!$D$9</definedName>
    <definedName function="false" hidden="false" name="q4_seq" vbProcedure="false">In!$E$10</definedName>
    <definedName function="false" hidden="false" name="q4_seq_hi" vbProcedure="false">In!$F$10</definedName>
    <definedName function="false" hidden="false" name="q4_seq_lo" vbProcedure="false">In!$D$10</definedName>
    <definedName function="false" hidden="false" name="redeem_cost" vbProcedure="false">In!$E$106</definedName>
    <definedName function="false" hidden="false" name="refi_prem" vbProcedure="false">In!$E$90</definedName>
    <definedName function="false" hidden="false" name="refi_prem_hi" vbProcedure="false">In!$F$90</definedName>
    <definedName function="false" hidden="false" name="refi_prem_lo" vbProcedure="false">In!$D$90</definedName>
    <definedName function="false" hidden="false" name="refi_save" vbProcedure="false">In!$E$105</definedName>
    <definedName function="false" hidden="false" name="refi_sp" vbProcedure="false">In!$E$89</definedName>
    <definedName function="false" hidden="false" name="refi_sp_hi" vbProcedure="false">In!$F$89</definedName>
    <definedName function="false" hidden="false" name="refi_sp_lo" vbProcedure="false">In!$D$89</definedName>
    <definedName function="false" hidden="false" name="refi_yr" vbProcedure="false">In!$E$88</definedName>
    <definedName function="false" hidden="false" name="re_fin" vbProcedure="false">In!$E$94</definedName>
    <definedName function="false" hidden="false" name="re_r" vbProcedure="false">In!$E$95</definedName>
    <definedName function="false" hidden="false" name="re_r_hi" vbProcedure="false">In!$F$95</definedName>
    <definedName function="false" hidden="false" name="re_r_lo" vbProcedure="false">In!$D$95</definedName>
    <definedName function="false" hidden="false" name="rf" vbProcedure="false">In!$E$123</definedName>
    <definedName function="false" hidden="false" name="sbc_q4" vbProcedure="false">In!$E$59</definedName>
    <definedName function="false" hidden="false" name="sga_fix" vbProcedure="false">In!$E$51</definedName>
    <definedName function="false" hidden="false" name="sga_fix_hi" vbProcedure="false">In!$F$51</definedName>
    <definedName function="false" hidden="false" name="sga_fix_lo" vbProcedure="false">In!$D$51</definedName>
    <definedName function="false" hidden="false" name="sga_var" vbProcedure="false">In!$E$52</definedName>
    <definedName function="false" hidden="false" name="sga_var_hi" vbProcedure="false">In!$F$52</definedName>
    <definedName function="false" hidden="false" name="sga_var_lo" vbProcedure="false">In!$D$52</definedName>
    <definedName function="false" hidden="false" name="sh_fx" vbProcedure="false">In!$E$6</definedName>
    <definedName function="false" hidden="false" name="sofr" vbProcedure="false">In!$E$82</definedName>
    <definedName function="false" hidden="false" name="sp_focf" vbProcedure="false">In!$E$151</definedName>
    <definedName function="false" hidden="false" name="sp_lev" vbProcedure="false">In!$E$150</definedName>
    <definedName function="false" hidden="false" name="ssn_31" vbProcedure="false">In!$E$86</definedName>
    <definedName function="false" hidden="false" name="ssn_r" vbProcedure="false">In!$E$87</definedName>
    <definedName function="false" hidden="false" name="stress_sp" vbProcedure="false">In!$E$91</definedName>
    <definedName function="false" hidden="false" name="stress_sp_hi" vbProcedure="false">In!$F$91</definedName>
    <definedName function="false" hidden="false" name="stress_sp_lo" vbProcedure="false">In!$D$91</definedName>
    <definedName function="false" hidden="false" name="swap_fix" vbProcedure="false">In!$E$84</definedName>
    <definedName function="false" hidden="false" name="tlb" vbProcedure="false">In!$E$83</definedName>
    <definedName function="false" hidden="false" name="tlb_old" vbProcedure="false">In!$E$83</definedName>
    <definedName function="false" hidden="false" name="tlb_sp" vbProcedure="false">In!$E$85</definedName>
    <definedName function="false" hidden="false" name="tra_0" vbProcedure="false">In!$E$77</definedName>
    <definedName function="false" hidden="false" name="tra_q4" vbProcedure="false">In!$E$78</definedName>
    <definedName function="false" hidden="false" name="tra_q4_hi" vbProcedure="false">In!$F$78</definedName>
    <definedName function="false" hidden="false" name="tra_q4_lo" vbProcedure="false">In!$D$78</definedName>
    <definedName function="false" hidden="false" name="tra_yrs" vbProcedure="false">In!$E$79</definedName>
    <definedName function="false" hidden="false" name="tra_yrs_hi" vbProcedure="false">In!$F$79</definedName>
    <definedName function="false" hidden="false" name="tra_yrs_lo" vbProcedure="false">In!$D$79</definedName>
    <definedName function="false" hidden="false" name="ttm_capex" vbProcedure="false">Q!$C$54</definedName>
    <definedName function="false" hidden="false" name="ttm_cfo" vbProcedure="false">Q!$C$55</definedName>
    <definedName function="false" hidden="false" name="ttm_cov" vbProcedure="false">Q!$C$60</definedName>
    <definedName function="false" hidden="false" name="ttm_ebitda" vbProcedure="false">Q!$C$51</definedName>
    <definedName function="false" hidden="false" name="ttm_gos" vbProcedure="false">Q!$C$52</definedName>
    <definedName function="false" hidden="false" name="ttm_gosrp" vbProcedure="false">Q!$C$61</definedName>
    <definedName function="false" hidden="false" name="ttm_int" vbProcedure="false">Q!$C$53</definedName>
    <definedName function="false" hidden="false" name="ttm_lev" vbProcedure="false">Q!$C$57</definedName>
    <definedName function="false" hidden="false" name="ttm_lev_xg" vbProcedure="false">Q!$C$59</definedName>
    <definedName function="false" hidden="false" name="ttm_nlev" vbProcedure="false">Q!$C$58</definedName>
    <definedName function="false" hidden="false" name="ttm_rp" vbProcedure="false">Q!$C$56</definedName>
    <definedName function="false" hidden="false" name="t_val" vbProcedure="false">In!$E$128</definedName>
    <definedName function="false" hidden="false" name="unit_cap" vbProcedure="false">In!$E$23</definedName>
    <definedName function="false" hidden="false" name="uns" vbProcedure="false">In!$E$92</definedName>
    <definedName function="false" hidden="false" name="uns_r" vbProcedure="false">In!$E$93</definedName>
    <definedName function="false" hidden="false" name="util" vbProcedure="false">In!$E$25</definedName>
    <definedName function="false" hidden="false" name="util_hi" vbProcedure="false">In!$F$25</definedName>
    <definedName function="false" hidden="false" name="util_lo" vbProcedure="false">In!$D$25</definedName>
    <definedName function="false" hidden="false" name="u_q4" vbProcedure="false">In!$E$8</definedName>
    <definedName function="false" hidden="false" name="v_D" vbProcedure="false">Val!$C$7</definedName>
    <definedName function="false" hidden="false" name="v_E" vbProcedure="false">Val!$C$6</definedName>
    <definedName function="false" hidden="false" name="v_irr_w" vbProcedure="false">Val!$C$82</definedName>
    <definedName function="false" hidden="false" name="v_ke" vbProcedure="false">Val!$C$5</definedName>
    <definedName function="false" hidden="false" name="v_mkt_ev" vbProcedure="false">Val!$C$13</definedName>
    <definedName function="false" hidden="false" name="v_mkt_mult" vbProcedure="false">Val!$C$14</definedName>
    <definedName function="false" hidden="false" name="v_mult" vbProcedure="false">Val!$C$12</definedName>
    <definedName function="false" hidden="false" name="v_nd" vbProcedure="false">Val!$C$9</definedName>
    <definedName function="false" hidden="false" name="v_peer" vbProcedure="false">Val!$C$11</definedName>
    <definedName function="false" hidden="false" name="v_tp_w" vbProcedure="false">Val!$C$85</definedName>
    <definedName function="false" hidden="false" name="v_tra" vbProcedure="false">Val!$C$10</definedName>
    <definedName function="false" hidden="false" name="v_up" vbProcedure="false">Val!$C$87</definedName>
    <definedName function="false" hidden="false" name="v_wacc" vbProcedure="false">Val!$C$8</definedName>
    <definedName function="false" hidden="false" name="warr" vbProcedure="false">In!$E$60</definedName>
    <definedName function="false" hidden="false" name="whs_pu" vbProcedure="false">In!$E$30</definedName>
    <definedName function="false" hidden="false" name="wh_adv" vbProcedure="false">In!$E$116</definedName>
    <definedName function="false" hidden="false" name="wh_adv_hi" vbProcedure="false">In!$F$116</definedName>
    <definedName function="false" hidden="false" name="wh_adv_lo" vbProcedure="false">In!$D$116</definedName>
    <definedName function="false" hidden="false" name="wh_unused" vbProcedure="false">In!$E$115</definedName>
    <definedName function="false" hidden="false" name="w_dcf" vbProcedure="false">In!$E$133</definedName>
    <definedName function="false" hidden="false" name="ytd_adj_ebitda" vbProcedure="false">Q!$K$19</definedName>
    <definedName function="false" hidden="false" name="ytd_capex" vbProcedure="false">Q!$K$25</definedName>
    <definedName function="false" hidden="false" name="ytd_cfo" vbProcedure="false">Q!$K$26</definedName>
    <definedName function="false" hidden="false" name="ytd_da" vbProcedure="false">Q!$K$14</definedName>
    <definedName function="false" hidden="false" name="ytd_gos" vbProcedure="false">Q!$K$17</definedName>
    <definedName function="false" hidden="false" name="ytd_gp_ret" vbProcedure="false">Q!$K$10</definedName>
    <definedName function="false" hidden="false" name="ytd_gp_whs" vbProcedure="false">Q!$K$11</definedName>
    <definedName function="false" hidden="false" name="ytd_int" vbProcedure="false">Q!$K$20</definedName>
    <definedName function="false" hidden="false" name="ytd_ni" vbProcedure="false">Q!$K$23</definedName>
    <definedName function="false" hidden="false" name="ytd_oi" vbProcedure="false">Q!$K$13</definedName>
    <definedName function="false" hidden="false" name="ytd_orig" vbProcedure="false">Q!$K$16</definedName>
    <definedName function="false" hidden="false" name="ytd_oth_exp" vbProcedure="false">Q!$K$21</definedName>
    <definedName function="false" hidden="false" name="ytd_rev_oth" vbProcedure="false">Q!$K$8</definedName>
    <definedName function="false" hidden="false" name="ytd_rev_ret" vbProcedure="false">Q!$K$6</definedName>
    <definedName function="false" hidden="false" name="ytd_rev_whs" vbProcedure="false">Q!$K$7</definedName>
    <definedName function="false" hidden="false" name="ytd_sbc" vbProcedure="false">Q!$K$15</definedName>
    <definedName function="false" hidden="false" name="ytd_sga" vbProcedure="false">Q!$K$12</definedName>
    <definedName function="false" hidden="false" name="ytd_tax" vbProcedure="false">Q!$K$22</definedName>
    <definedName function="false" hidden="false" name="ytd_units" vbProcedure="false">Q!$K$4</definedName>
    <definedName function="false" hidden="false" name="ytd_warrant" vbProcedure="false">Q!$K$18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<sst xmlns="http://schemas.openxmlformats.org/spreadsheetml/2006/main" count="2319" uniqueCount="886">
  <si>
    <r>
      <rPr>
        <sz val="11"/>
        <color theme="1"/>
        <rFont val="Calibri"/>
        <family val="2"/>
        <charset val="1"/>
      </rPr>
      <t xml:space="preserve">Carvana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CVNA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v0.3.2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）— 命題＋營收線＋收支平衡＋信用風險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</si>
  <si>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的高成長與獲利，毛利約三成、調整後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約一半來自「把車貸賣掉的利得」；只要消費信用與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市場正常，它能自我融資，一旦信用循環轉向，利得、放款與台數會同時被壓縮——問題是它的現金與債務結構撐不撐得住</t>
    </r>
  </si>
  <si>
    <r>
      <rPr>
        <sz val="11"/>
        <color theme="1"/>
        <rFont val="Noto Sans CJK SC"/>
        <family val="2"/>
      </rPr>
      <t xml:space="preserve">核心問題：在信用循環轉差時，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能否不靠新股與新債維持收支平衡？債務／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會不會越過評等門檻？</t>
    </r>
  </si>
  <si>
    <t xml:space="preserve">重點觀察（數字取自本活頁簿）</t>
  </si>
  <si>
    <r>
      <rPr>
        <sz val="11"/>
        <color theme="1"/>
        <rFont val="Noto Sans CJK SC"/>
        <family val="2"/>
      </rPr>
      <t xml:space="preserve">工作表：</t>
    </r>
    <r>
      <rPr>
        <sz val="11"/>
        <color theme="1"/>
        <rFont val="Calibri"/>
        <family val="2"/>
        <charset val="1"/>
      </rPr>
      <t xml:space="preserve">README → In</t>
    </r>
    <r>
      <rPr>
        <sz val="11"/>
        <color theme="1"/>
        <rFont val="Noto Sans CJK SC"/>
        <family val="2"/>
      </rPr>
      <t xml:space="preserve">（輸入）→ 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CJK SC"/>
        <family val="2"/>
      </rPr>
      <t xml:space="preserve">（事實總帳）→ 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（命題：台數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單位經濟）→ 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（營收線 → 損益）→ </t>
    </r>
    <r>
      <rPr>
        <sz val="11"/>
        <color theme="1"/>
        <rFont val="Calibri"/>
        <family val="2"/>
        <charset val="1"/>
      </rPr>
      <t xml:space="preserve">CF</t>
    </r>
    <r>
      <rPr>
        <sz val="11"/>
        <color theme="1"/>
        <rFont val="Noto Sans CJK SC"/>
        <family val="2"/>
      </rPr>
      <t xml:space="preserve">（收支模組、債務表）→ </t>
    </r>
    <r>
      <rPr>
        <sz val="11"/>
        <color theme="1"/>
        <rFont val="Calibri"/>
        <family val="2"/>
        <charset val="1"/>
      </rPr>
      <t xml:space="preserve">Credit</t>
    </r>
    <r>
      <rPr>
        <sz val="11"/>
        <color theme="1"/>
        <rFont val="Noto Sans CJK SC"/>
        <family val="2"/>
      </rPr>
      <t xml:space="preserve">（信用風險七節）→ 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＋倍數）→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（敏感度）→ </t>
    </r>
    <r>
      <rPr>
        <sz val="11"/>
        <color theme="1"/>
        <rFont val="Calibri"/>
        <family val="2"/>
        <charset val="1"/>
      </rPr>
      <t xml:space="preserve">Sources</t>
    </r>
  </si>
  <si>
    <r>
      <rPr>
        <sz val="11"/>
        <color theme="1"/>
        <rFont val="Noto Sans CJK SC"/>
        <family val="2"/>
      </rPr>
      <t xml:space="preserve">會計年度＝曆年；金額百萬美元；每台金額美元。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＝前三季實績＋第四季模型（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起）；公司自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起不再提供季度與年度指引，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年起改以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指標（中期目標：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萬台、營業利益率 </t>
    </r>
    <r>
      <rPr>
        <sz val="11"/>
        <color theme="1"/>
        <rFont val="Calibri"/>
        <family val="2"/>
        <charset val="1"/>
      </rPr>
      <t xml:space="preserve">12.5%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2030–2035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</si>
  <si>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營收分部層：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只有一個應報導部門（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）；營收列採公司固定揭露的三條營收線（零售、批發、其他），其他營收下拆「貸款出售利得」與「非貸款」兩個命題子列，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頁核對列為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</si>
  <si>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與專案既有模型的關係：比照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（命題＋分部架構、五級評等、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＋倍數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rf 5.00%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收支模型「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不是現金」的收支精神；本模型不讀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與算力無關）</t>
    </r>
  </si>
  <si>
    <r>
      <rPr>
        <sz val="11"/>
        <color theme="1"/>
        <rFont val="Calibri"/>
        <family val="2"/>
        <charset val="1"/>
      </rPr>
      <t xml:space="preserve">v0.1 →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）：納入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實績（台數 </t>
    </r>
    <r>
      <rPr>
        <sz val="11"/>
        <color theme="1"/>
        <rFont val="Calibri"/>
        <family val="2"/>
        <charset val="1"/>
      </rPr>
      <t xml:space="preserve">217,385</t>
    </r>
    <r>
      <rPr>
        <sz val="11"/>
        <color theme="1"/>
        <rFont val="Noto Sans CJK SC"/>
        <family val="2"/>
      </rPr>
      <t xml:space="preserve">，高於共識 </t>
    </r>
    <r>
      <rPr>
        <sz val="11"/>
        <color theme="1"/>
        <rFont val="Calibri"/>
        <family val="2"/>
        <charset val="1"/>
      </rPr>
      <t xml:space="preserve">3.4%</t>
    </r>
    <r>
      <rPr>
        <sz val="11"/>
        <color theme="1"/>
        <rFont val="Noto Sans CJK SC"/>
        <family val="2"/>
      </rPr>
      <t xml:space="preserve">；零售 </t>
    </r>
    <r>
      <rPr>
        <sz val="11"/>
        <color theme="1"/>
        <rFont val="Calibri"/>
        <family val="2"/>
        <charset val="1"/>
      </rPr>
      <t xml:space="preserve">GPU 3,556 </t>
    </r>
    <r>
      <rPr>
        <sz val="11"/>
        <color theme="1"/>
        <rFont val="Noto Sans CJK SC"/>
        <family val="2"/>
      </rPr>
      <t xml:space="preserve">高於共識、批發 </t>
    </r>
    <r>
      <rPr>
        <sz val="11"/>
        <color theme="1"/>
        <rFont val="Calibri"/>
        <family val="2"/>
        <charset val="1"/>
      </rPr>
      <t xml:space="preserve">GPU 708 </t>
    </r>
    <r>
      <rPr>
        <sz val="11"/>
        <color theme="1"/>
        <rFont val="Noto Sans CJK SC"/>
        <family val="2"/>
      </rPr>
      <t xml:space="preserve">低於共識、其他 </t>
    </r>
    <r>
      <rPr>
        <sz val="11"/>
        <color theme="1"/>
        <rFont val="Calibri"/>
        <family val="2"/>
        <charset val="1"/>
      </rPr>
      <t xml:space="preserve">GPU 2,733 </t>
    </r>
    <r>
      <rPr>
        <sz val="11"/>
        <color theme="1"/>
        <rFont val="Noto Sans CJK SC"/>
        <family val="2"/>
      </rPr>
      <t xml:space="preserve">持平；</t>
    </r>
    <r>
      <rPr>
        <sz val="11"/>
        <color theme="1"/>
        <rFont val="Calibri"/>
        <family val="2"/>
        <charset val="1"/>
      </rPr>
      <t xml:space="preserve">SG&amp;A 805 </t>
    </r>
    <r>
      <rPr>
        <sz val="11"/>
        <color theme="1"/>
        <rFont val="Noto Sans CJK SC"/>
        <family val="2"/>
      </rPr>
      <t xml:space="preserve">偏高）；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年改為前三季實績＋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模型；債務表改為實際（定期貸款 </t>
    </r>
    <r>
      <rPr>
        <sz val="11"/>
        <color theme="1"/>
        <rFont val="Calibri"/>
        <family val="2"/>
        <charset val="1"/>
      </rPr>
      <t xml:space="preserve">B 1,660 </t>
    </r>
    <r>
      <rPr>
        <sz val="11"/>
        <color theme="1"/>
        <rFont val="Noto Sans CJK SC"/>
        <family val="2"/>
      </rPr>
      <t xml:space="preserve">以利率交換固定 </t>
    </r>
    <r>
      <rPr>
        <sz val="11"/>
        <color theme="1"/>
        <rFont val="Calibri"/>
        <family val="2"/>
        <charset val="1"/>
      </rPr>
      <t xml:space="preserve">4.055%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2028-07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年票據已以溢價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贖回、車隊融資 </t>
    </r>
    <r>
      <rPr>
        <sz val="11"/>
        <color theme="1"/>
        <rFont val="Calibri"/>
        <family val="2"/>
        <charset val="1"/>
      </rPr>
      <t xml:space="preserve">142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變動成本 </t>
    </r>
    <r>
      <rPr>
        <sz val="11"/>
        <color theme="1"/>
        <rFont val="Calibri"/>
        <family val="2"/>
        <charset val="1"/>
      </rPr>
      <t xml:space="preserve">2,700 → 2,900</t>
    </r>
    <r>
      <rPr>
        <sz val="11"/>
        <color theme="1"/>
        <rFont val="Noto Sans CJK SC"/>
        <family val="2"/>
      </rPr>
      <t xml:space="preserve">；出售貸款存續期間 </t>
    </r>
    <r>
      <rPr>
        <sz val="11"/>
        <color theme="1"/>
        <rFont val="Calibri"/>
        <family val="2"/>
        <charset val="1"/>
      </rPr>
      <t xml:space="preserve">1.8 → 2.0</t>
    </r>
    <r>
      <rPr>
        <sz val="11"/>
        <color theme="1"/>
        <rFont val="Noto Sans CJK SC"/>
        <family val="2"/>
      </rPr>
      <t xml:space="preserve">（貸款池模擬）；現價改為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 </t>
    </r>
    <r>
      <rPr>
        <sz val="11"/>
        <color theme="1"/>
        <rFont val="Calibri"/>
        <family val="2"/>
        <charset val="1"/>
      </rPr>
      <t xml:space="preserve">63.99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指定）；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Q4 2025–Q3 2026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選項 ③）：對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利多與利空對稱處理——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變動成本 </t>
    </r>
    <r>
      <rPr>
        <sz val="11"/>
        <color theme="1"/>
        <rFont val="Calibri"/>
        <family val="2"/>
        <charset val="1"/>
      </rPr>
      <t xml:space="preserve">2,900 → 2,800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3,350 → 3,450</t>
    </r>
    <r>
      <rPr>
        <sz val="11"/>
        <color theme="1"/>
        <rFont val="Noto Sans CJK SC"/>
        <family val="2"/>
      </rPr>
      <t xml:space="preserve">、長期 </t>
    </r>
    <r>
      <rPr>
        <sz val="11"/>
        <color theme="1"/>
        <rFont val="Calibri"/>
        <family val="2"/>
        <charset val="1"/>
      </rPr>
      <t xml:space="preserve">3,300 → 3,350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存貨天數改為兩年路徑（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；原為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年即回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）</t>
    </r>
  </si>
  <si>
    <t xml:space="preserve">已知限制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</si>
  <si>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144A</t>
    </r>
    <r>
      <rPr>
        <sz val="11"/>
        <color theme="1"/>
        <rFont val="Noto Sans CJK SC"/>
        <family val="2"/>
      </rPr>
      <t xml:space="preserve">）證券化的靜態池損失未公開，非 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淨沖銷率以「全部 −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」推得。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利息以期初餘額計，忽略年內再融資時點（再融資年度另以月數拆）。</t>
    </r>
    <r>
      <rPr>
        <sz val="11"/>
        <color theme="1"/>
        <rFont val="Calibri"/>
        <family val="2"/>
        <charset val="1"/>
      </rPr>
      <t xml:space="preserve">3. TRA </t>
    </r>
    <r>
      <rPr>
        <sz val="11"/>
        <color theme="1"/>
        <rFont val="Noto Sans CJK SC"/>
        <family val="2"/>
      </rPr>
      <t xml:space="preserve">以平均攤付處理，未隨課稅所得與未來交換變動。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產能建置成本、維護資本支出、利得率對損失與利差的傳導係數皆為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估值折現基準點為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年底，未計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年第四季現金流。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關係人與放空報告主張無法以公開資料驗證，只列對照。</t>
    </r>
    <r>
      <rPr>
        <sz val="11"/>
        <color theme="1"/>
        <rFont val="Calibri"/>
        <family val="2"/>
        <charset val="1"/>
      </rPr>
      <t xml:space="preserve">7. 2026 </t>
    </r>
    <r>
      <rPr>
        <sz val="11"/>
        <color theme="1"/>
        <rFont val="Noto Sans CJK SC"/>
        <family val="2"/>
      </rPr>
      <t xml:space="preserve">年評等動作未找到，門檻沿用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年公開說法。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</si>
  <si>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輸入（藍字＝輸入；黑字＝公式；基準欄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）；每台金額：美元；台數：輛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</si>
  <si>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給低／高區間。公司財報數字依專案慣例標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（公司自述、經會計師核閱或查核）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</si>
  <si>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</si>
  <si>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</si>
  <si>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</si>
  <si>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</si>
  <si>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</si>
  <si>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</si>
  <si>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</si>
  <si>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</si>
  <si>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</si>
  <si>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股價、股數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</si>
  <si>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</si>
  <si>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盤後）</t>
    </r>
  </si>
  <si>
    <t xml:space="preserve">US$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</si>
  <si>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</si>
  <si>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StockStory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財報公布後盤後上漲 </t>
    </r>
    <r>
      <rPr>
        <sz val="11"/>
        <color theme="1"/>
        <rFont val="Calibri"/>
        <family val="2"/>
        <charset val="1"/>
      </rPr>
      <t xml:space="preserve">8.4%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63.99</t>
    </r>
  </si>
  <si>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指定用盤後價；推得收盤約 </t>
    </r>
    <r>
      <rPr>
        <sz val="11"/>
        <color theme="1"/>
        <rFont val="Calibri"/>
        <family val="2"/>
        <charset val="1"/>
      </rPr>
      <t xml:space="preserve">59.03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56.61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</si>
  <si>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sh_fx</t>
  </si>
  <si>
    <r>
      <rPr>
        <sz val="11"/>
        <color theme="1"/>
        <rFont val="Noto Sans CJK SC"/>
        <family val="2"/>
      </rPr>
      <t xml:space="preserve">完全轉換股數（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單位全數交換＋其他稀釋）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</si>
  <si>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</si>
  <si>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Assuming full conversion … 1.127 billion shares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</si>
  <si>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類流通 </t>
    </r>
    <r>
      <rPr>
        <sz val="11"/>
        <color theme="1"/>
        <rFont val="Calibri"/>
        <family val="2"/>
        <charset val="1"/>
      </rPr>
      <t xml:space="preserve">719.0 </t>
    </r>
    <r>
      <rPr>
        <sz val="11"/>
        <color theme="1"/>
        <rFont val="Noto Sans CJK SC"/>
        <family val="2"/>
      </rPr>
      <t xml:space="preserve">百萬股＋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類 </t>
    </r>
    <r>
      <rPr>
        <sz val="11"/>
        <color theme="1"/>
        <rFont val="Calibri"/>
        <family val="2"/>
        <charset val="1"/>
      </rPr>
      <t xml:space="preserve">380.5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類為表決權股；經濟權益以 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單位交換計）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</si>
  <si>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命題：零售台數路徑</t>
    </r>
  </si>
  <si>
    <t xml:space="preserve">u_q4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</si>
  <si>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零售台數</t>
    </r>
  </si>
  <si>
    <t xml:space="preserve">輛</t>
  </si>
  <si>
    <t xml:space="preserve">Derived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</si>
  <si>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217,385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</si>
  <si>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增加（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股東信）</t>
    </r>
  </si>
  <si>
    <t xml:space="preserve">q4_adj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</si>
  <si>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每台總毛利季節性調整（相對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</si>
  <si>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GPU 6,427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Q3 2025 7,362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935</t>
    </r>
    <r>
      <rPr>
        <sz val="11"/>
        <color theme="1"/>
        <rFont val="Noto Sans CJK SC"/>
        <family val="2"/>
      </rPr>
      <t xml:space="preserve">（零售 −</t>
    </r>
    <r>
      <rPr>
        <sz val="11"/>
        <color theme="1"/>
        <rFont val="Calibri"/>
        <family val="2"/>
        <charset val="1"/>
      </rPr>
      <t xml:space="preserve">466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233</t>
    </r>
    <r>
      <rPr>
        <sz val="11"/>
        <color theme="1"/>
        <rFont val="Noto Sans CJK SC"/>
        <family val="2"/>
      </rPr>
      <t xml:space="preserve">、批發 −</t>
    </r>
    <r>
      <rPr>
        <sz val="11"/>
        <color theme="1"/>
        <rFont val="Calibri"/>
        <family val="2"/>
        <charset val="1"/>
      </rPr>
      <t xml:space="preserve">236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</si>
  <si>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季節性；以零售毛利承載</t>
  </si>
  <si>
    <t xml:space="preserve">q4_seq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</si>
  <si>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台數相對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變化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</si>
  <si>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</si>
  <si>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</si>
  <si>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sequential increase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股東信）；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+4.9%</t>
    </r>
  </si>
  <si>
    <t xml:space="preserve">—</t>
  </si>
  <si>
    <t xml:space="preserve">g27_A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</si>
  <si>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</si>
  <si>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2030–2035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萬台（股東信）；此路徑約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年觸及用地上限</t>
    </r>
  </si>
  <si>
    <t xml:space="preserve">g28_A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</si>
  <si>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</si>
  <si>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同上</t>
  </si>
  <si>
    <t xml:space="preserve">g30_A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</si>
  <si>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</si>
  <si>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</si>
  <si>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</si>
  <si>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g27_B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</si>
  <si>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</si>
  <si>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+43%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+35%</t>
    </r>
    <r>
      <rPr>
        <sz val="11"/>
        <color theme="1"/>
        <rFont val="Noto Sans CJK SC"/>
        <family val="2"/>
      </rPr>
      <t xml:space="preserve">，逐年放緩；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年約為二手零售市場 </t>
    </r>
    <r>
      <rPr>
        <sz val="11"/>
        <color theme="1"/>
        <rFont val="Calibri"/>
        <family val="2"/>
        <charset val="1"/>
      </rPr>
      <t xml:space="preserve">6%</t>
    </r>
  </si>
  <si>
    <t xml:space="preserve">g28_B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</si>
  <si>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</si>
  <si>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g30_B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</si>
  <si>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</si>
  <si>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</si>
  <si>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</si>
  <si>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g27_C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</si>
  <si>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</si>
  <si>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年次級車貸循環：放款收緊、二手車價下跌，台數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年起緩步恢復</t>
    </r>
  </si>
  <si>
    <t xml:space="preserve">g28_C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</si>
  <si>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</si>
  <si>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g30_C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</si>
  <si>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</si>
  <si>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</si>
  <si>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</si>
  <si>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unit_cap</t>
  </si>
  <si>
    <t xml:space="preserve">生產用地可支援的年零售台數上限</t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</si>
  <si>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real estate to support annual retail production of 3 million</t>
    </r>
  </si>
  <si>
    <t xml:space="preserve">台數路徑以此為上限</t>
  </si>
  <si>
    <t xml:space="preserve">cap_0</t>
  </si>
  <si>
    <r>
      <rPr>
        <sz val="11"/>
        <color theme="1"/>
        <rFont val="Noto Sans CJK SC"/>
        <family val="2"/>
      </rPr>
      <t xml:space="preserve">已完成建置的年產能（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年中）</t>
    </r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</si>
  <si>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fully built out annual capacity for approximately 1.5 million</t>
    </r>
  </si>
  <si>
    <t xml:space="preserve">util</t>
  </si>
  <si>
    <t xml:space="preserve">產能利用率上限（超過即需擴建）</t>
  </si>
  <si>
    <t xml:space="preserve">公司未揭露（未找到）</t>
  </si>
  <si>
    <t xml:space="preserve">capcost</t>
  </si>
  <si>
    <t xml:space="preserve">每台年產能建置成本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</si>
  <si>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</si>
  <si>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站點全面改建成本：未找到（公司只揭露首個全面改建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年初投產）</t>
    </r>
  </si>
  <si>
    <r>
      <rPr>
        <sz val="11"/>
        <color theme="1"/>
        <rFont val="Noto Sans CJK SC"/>
        <family val="2"/>
      </rPr>
      <t xml:space="preserve">成長性資本支出＝新增產能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每台成本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</si>
  <si>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命題：單位經濟（每零售台）</t>
    </r>
  </si>
  <si>
    <t xml:space="preserve">asp_q4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</si>
  <si>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零售每台營收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</si>
  <si>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零售每台營收 </t>
    </r>
    <r>
      <rPr>
        <sz val="11"/>
        <color theme="1"/>
        <rFont val="Calibri"/>
        <family val="2"/>
        <charset val="1"/>
      </rPr>
      <t xml:space="preserve">28,263</t>
    </r>
  </si>
  <si>
    <t xml:space="preserve">asp_g</t>
  </si>
  <si>
    <r>
      <rPr>
        <sz val="11"/>
        <color theme="1"/>
        <rFont val="Noto Sans CJK SC"/>
        <family val="2"/>
      </rPr>
      <t xml:space="preserve">零售每台售價年增（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</si>
  <si>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二手車價（</t>
    </r>
    <r>
      <rPr>
        <sz val="11"/>
        <color theme="1"/>
        <rFont val="Calibri"/>
        <family val="2"/>
        <charset val="1"/>
      </rPr>
      <t xml:space="preserve">Manheim </t>
    </r>
    <r>
      <rPr>
        <sz val="11"/>
        <color theme="1"/>
        <rFont val="Noto Sans CJK SC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205.9</t>
    </r>
    <r>
      <rPr>
        <sz val="11"/>
        <color theme="1"/>
        <rFont val="Noto Sans CJK SC"/>
        <family val="2"/>
      </rPr>
      <t xml:space="preserve">，年減 </t>
    </r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Cox Automotive</t>
    </r>
    <r>
      <rPr>
        <sz val="11"/>
        <color theme="1"/>
        <rFont val="Noto Sans CJK SC"/>
        <family val="2"/>
      </rPr>
      <t xml:space="preserve">）</t>
    </r>
  </si>
  <si>
    <t xml:space="preserve">貸款發放額、批發營收同幅</t>
  </si>
  <si>
    <t xml:space="preserve">whs_pu</t>
  </si>
  <si>
    <r>
      <rPr>
        <sz val="11"/>
        <color theme="1"/>
        <rFont val="Noto Sans CJK SC"/>
        <family val="2"/>
      </rPr>
      <t xml:space="preserve">批發營收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零售台數（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</si>
  <si>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前三季批發營收 </t>
    </r>
    <r>
      <rPr>
        <sz val="11"/>
        <color theme="1"/>
        <rFont val="Calibri"/>
        <family val="2"/>
        <charset val="1"/>
      </rPr>
      <t xml:space="preserve">3,723 ÷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602,103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</si>
  <si>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5,989</t>
    </r>
  </si>
  <si>
    <t xml:space="preserve">gpr_q4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</si>
  <si>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零售毛利／台（季節調整前）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</si>
  <si>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</si>
  <si>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實績</t>
    </r>
  </si>
  <si>
    <t xml:space="preserve">gpr27_A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</si>
  <si>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</si>
  <si>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3,431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</si>
  <si>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線性收斂至長期值</t>
    </r>
  </si>
  <si>
    <t xml:space="preserve">gprLT_A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</si>
  <si>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</si>
  <si>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</si>
  <si>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</si>
  <si>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3,431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利多延續一半（</t>
    </r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選項 ③；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3,350</t>
    </r>
    <r>
      <rPr>
        <sz val="11"/>
        <color theme="1"/>
        <rFont val="Noto Sans CJK SC"/>
        <family val="2"/>
      </rPr>
      <t xml:space="preserve">、長期 </t>
    </r>
    <r>
      <rPr>
        <sz val="11"/>
        <color theme="1"/>
        <rFont val="Calibri"/>
        <family val="2"/>
        <charset val="1"/>
      </rPr>
      <t xml:space="preserve">3,300</t>
    </r>
    <r>
      <rPr>
        <sz val="11"/>
        <color theme="1"/>
        <rFont val="Noto Sans CJK SC"/>
        <family val="2"/>
      </rPr>
      <t xml:space="preserve">）</t>
    </r>
  </si>
  <si>
    <t xml:space="preserve">gprLT_B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</si>
  <si>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</si>
  <si>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</si>
  <si>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</si>
  <si>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3,431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：二手車價下跌時零售毛利受壓（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年循環曾大幅下滑）</t>
    </r>
  </si>
  <si>
    <t xml:space="preserve">gprLT_C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</si>
  <si>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</si>
  <si>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gpw_h2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</si>
  <si>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起批發毛利／零售台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</si>
  <si>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 708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812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</si>
  <si>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806</t>
    </r>
  </si>
  <si>
    <t xml:space="preserve">gpw27_C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</si>
  <si>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年批發毛利／零售台</t>
    </r>
  </si>
  <si>
    <t xml:space="preserve">批發車價下跌時批發毛利下降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</si>
  <si>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gpw_h2</t>
    </r>
  </si>
  <si>
    <t xml:space="preserve">opu</t>
  </si>
  <si>
    <r>
      <rPr>
        <sz val="11"/>
        <color theme="1"/>
        <rFont val="Noto Sans CJK SC"/>
        <family val="2"/>
      </rPr>
      <t xml:space="preserve">每零售台貸款發放金額（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</si>
  <si>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</t>
    </r>
    <r>
      <rPr>
        <sz val="11"/>
        <color theme="1"/>
        <rFont val="Noto Sans CJK SC"/>
        <family val="2"/>
      </rPr>
      <t xml:space="preserve">（前三季 </t>
    </r>
    <r>
      <rPr>
        <sz val="11"/>
        <color theme="1"/>
        <rFont val="Calibri"/>
        <family val="2"/>
        <charset val="1"/>
      </rPr>
      <t xml:space="preserve">14,187 −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9,005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217,385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</si>
  <si>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起隨售價年增</t>
    </r>
  </si>
  <si>
    <t xml:space="preserve">gos_h2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</si>
  <si>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貸款出售利得率（利得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發放額）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</si>
  <si>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利得 </t>
    </r>
    <r>
      <rPr>
        <sz val="11"/>
        <color theme="1"/>
        <rFont val="Calibri"/>
        <family val="2"/>
        <charset val="1"/>
      </rPr>
      <t xml:space="preserve">381</t>
    </r>
    <r>
      <rPr>
        <sz val="11"/>
        <color theme="1"/>
        <rFont val="Noto Sans CJK SC"/>
        <family val="2"/>
      </rPr>
      <t xml:space="preserve">（前三季 </t>
    </r>
    <r>
      <rPr>
        <sz val="11"/>
        <color theme="1"/>
        <rFont val="Calibri"/>
        <family val="2"/>
        <charset val="1"/>
      </rPr>
      <t xml:space="preserve">1,084 −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703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</si>
  <si>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Q2 2026 7.35%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受基準利率快速上升與油價影響每台約 −</t>
    </r>
    <r>
      <rPr>
        <sz val="11"/>
        <color theme="1"/>
        <rFont val="Calibri"/>
        <family val="2"/>
        <charset val="1"/>
      </rPr>
      <t xml:space="preserve">200</t>
    </r>
  </si>
  <si>
    <t xml:space="preserve">gos27_A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</si>
  <si>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</si>
  <si>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7.8%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7.3%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</si>
  <si>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gosLT_A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</si>
  <si>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</si>
  <si>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gos27_B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</si>
  <si>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</si>
  <si>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t xml:space="preserve">gosLT_B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</si>
  <si>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</si>
  <si>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gos27_C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</si>
  <si>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</si>
  <si>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 − 損失傳導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終身損失增幅 − 存續期間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利差擴大（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）</t>
    </r>
  </si>
  <si>
    <t xml:space="preserve">gosLT_C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</si>
  <si>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</si>
  <si>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循環後部分回復</t>
  </si>
  <si>
    <t xml:space="preserve">oth_pu</t>
  </si>
  <si>
    <r>
      <rPr>
        <sz val="11"/>
        <color theme="1"/>
        <rFont val="Noto Sans CJK SC"/>
        <family val="2"/>
      </rPr>
      <t xml:space="preserve">其他毛利中非貸款部分／零售台（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</t>
    </r>
    <r>
      <rPr>
        <sz val="11"/>
        <color theme="1"/>
        <rFont val="Noto Sans CJK SC"/>
        <family val="2"/>
      </rPr>
      <t xml:space="preserve">、權證等）</t>
    </r>
  </si>
  <si>
    <r>
      <rPr>
        <sz val="11"/>
        <color theme="1"/>
        <rFont val="Calibri"/>
        <family val="2"/>
        <charset val="1"/>
      </rPr>
      <t xml:space="preserve">Q3 2026</t>
    </r>
    <r>
      <rPr>
        <sz val="11"/>
        <color theme="1"/>
        <rFont val="Noto Sans CJK SC"/>
        <family val="2"/>
      </rPr>
      <t xml:space="preserve">（其他毛利 </t>
    </r>
    <r>
      <rPr>
        <sz val="11"/>
        <color theme="1"/>
        <rFont val="Calibri"/>
        <family val="2"/>
        <charset val="1"/>
      </rPr>
      <t xml:space="preserve">594 − </t>
    </r>
    <r>
      <rPr>
        <sz val="11"/>
        <color theme="1"/>
        <rFont val="Noto Sans CJK SC"/>
        <family val="2"/>
      </rPr>
      <t xml:space="preserve">出售利得 </t>
    </r>
    <r>
      <rPr>
        <sz val="11"/>
        <color theme="1"/>
        <rFont val="Calibri"/>
        <family val="2"/>
        <charset val="1"/>
      </rPr>
      <t xml:space="preserve">381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217,385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</si>
  <si>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VSC </t>
    </r>
    <r>
      <rPr>
        <sz val="11"/>
        <color theme="1"/>
        <rFont val="Noto Sans CJK SC"/>
        <family val="2"/>
      </rPr>
      <t xml:space="preserve">佣金來自 </t>
    </r>
    <r>
      <rPr>
        <sz val="11"/>
        <color theme="1"/>
        <rFont val="Calibri"/>
        <family val="2"/>
        <charset val="1"/>
      </rPr>
      <t xml:space="preserve">DriveTime</t>
    </r>
    <r>
      <rPr>
        <sz val="11"/>
        <color theme="1"/>
        <rFont val="Noto Sans CJK SC"/>
        <family val="2"/>
      </rPr>
      <t xml:space="preserve">（關係人）</t>
    </r>
  </si>
  <si>
    <t xml:space="preserve">oth_g</t>
  </si>
  <si>
    <t xml:space="preserve">非貸款其他毛利／台年增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</si>
  <si>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費用、折舊、資本支出</t>
    </r>
  </si>
  <si>
    <t xml:space="preserve">sga_fix</t>
  </si>
  <si>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固定部分（每季）</t>
    </r>
  </si>
  <si>
    <t xml:space="preserve">US$M</t>
  </si>
  <si>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對零售台數迴歸（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</si>
  <si>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驗算：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217,385 × 2,900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（實績 </t>
    </r>
    <r>
      <rPr>
        <sz val="11"/>
        <color theme="1"/>
        <rFont val="Calibri"/>
        <family val="2"/>
        <charset val="1"/>
      </rPr>
      <t xml:space="preserve">805</t>
    </r>
    <r>
      <rPr>
        <sz val="11"/>
        <color theme="1"/>
        <rFont val="Noto Sans CJK SC"/>
        <family val="2"/>
      </rPr>
      <t xml:space="preserve">）</t>
    </r>
  </si>
  <si>
    <t xml:space="preserve">sga_var</t>
  </si>
  <si>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變動部分／台（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</si>
  <si>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固定 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／季時：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反推約 </t>
    </r>
    <r>
      <rPr>
        <sz val="11"/>
        <color theme="1"/>
        <rFont val="Calibri"/>
        <family val="2"/>
        <charset val="1"/>
      </rPr>
      <t xml:space="preserve">2,700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2,920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廣告 </t>
    </r>
    <r>
      <rPr>
        <sz val="11"/>
        <color theme="1"/>
        <rFont val="Calibri"/>
        <family val="2"/>
        <charset val="1"/>
      </rPr>
      <t xml:space="preserve">152</t>
    </r>
    <r>
      <rPr>
        <sz val="11"/>
        <color theme="1"/>
        <rFont val="Noto Sans CJK SC"/>
        <family val="2"/>
      </rPr>
      <t xml:space="preserve">、物流 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CJK SC"/>
        <family val="2"/>
      </rPr>
      <t xml:space="preserve">受油價推升）；取中點，約一半視為暫時性（</t>
    </r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選項 ③）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</si>
  <si>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2,700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2,900</t>
    </r>
  </si>
  <si>
    <t xml:space="preserve">infl</t>
  </si>
  <si>
    <r>
      <rPr>
        <sz val="11"/>
        <color theme="1"/>
        <rFont val="Noto Sans CJK SC"/>
        <family val="2"/>
      </rPr>
      <t xml:space="preserve">固定費用、折舊、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年增</t>
    </r>
  </si>
  <si>
    <t xml:space="preserve">eff_A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</si>
  <si>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</si>
  <si>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r>
      <rPr>
        <sz val="11"/>
        <color theme="1"/>
        <rFont val="Noto Sans CJK SC"/>
        <family val="2"/>
      </rPr>
      <t xml:space="preserve">公司稱已承擔可支援更大量的固定成本、規模可再擴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Q1 2025 </t>
    </r>
    <r>
      <rPr>
        <sz val="11"/>
        <color theme="1"/>
        <rFont val="Noto Sans CJK SC"/>
        <family val="2"/>
      </rPr>
      <t xml:space="preserve">股東信，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</si>
  <si>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eff_B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</si>
  <si>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</si>
  <si>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t xml:space="preserve">eff_C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</si>
  <si>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</si>
  <si>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t xml:space="preserve">da_q4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</si>
  <si>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</si>
  <si>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</si>
  <si>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起隨 </t>
    </r>
    <r>
      <rPr>
        <sz val="11"/>
        <color theme="1"/>
        <rFont val="Calibri"/>
        <family val="2"/>
        <charset val="1"/>
      </rPr>
      <t xml:space="preserve">infl </t>
    </r>
    <r>
      <rPr>
        <sz val="11"/>
        <color theme="1"/>
        <rFont val="Noto Sans CJK SC"/>
        <family val="2"/>
      </rPr>
      <t xml:space="preserve">成長＋成長性資本支出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</si>
  <si>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life</t>
  </si>
  <si>
    <t xml:space="preserve">成長性資本支出折舊年限</t>
  </si>
  <si>
    <t xml:space="preserve">年</t>
  </si>
  <si>
    <t xml:space="preserve">公司未揭露（建物與改裝設備混合）</t>
  </si>
  <si>
    <t xml:space="preserve">sbc_q4</t>
  </si>
  <si>
    <t xml:space="preserve">2026Q4 SBC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</si>
  <si>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</si>
  <si>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warr</t>
  </si>
  <si>
    <r>
      <rPr>
        <sz val="11"/>
        <color theme="1"/>
        <rFont val="Noto Sans CJK SC"/>
        <family val="2"/>
      </rPr>
      <t xml:space="preserve">權證營收（</t>
    </r>
    <r>
      <rPr>
        <sz val="11"/>
        <color theme="1"/>
        <rFont val="Calibri"/>
        <family val="2"/>
        <charset val="1"/>
      </rPr>
      <t xml:space="preserve">Root</t>
    </r>
    <r>
      <rPr>
        <sz val="11"/>
        <color theme="1"/>
        <rFont val="Noto Sans CJK SC"/>
        <family val="2"/>
      </rPr>
      <t xml:space="preserve">，自調整後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扣除）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</si>
  <si>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</si>
  <si>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股東信非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對帳）</t>
    </r>
  </si>
  <si>
    <t xml:space="preserve">capex_q4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</si>
  <si>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</si>
  <si>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Noto Sans CJK SC"/>
        <family val="2"/>
      </rPr>
      <t xml:space="preserve">；三個 </t>
    </r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全面改建施工中（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股東信）</t>
    </r>
  </si>
  <si>
    <t xml:space="preserve">mcx</t>
  </si>
  <si>
    <r>
      <rPr>
        <sz val="11"/>
        <color theme="1"/>
        <rFont val="Noto Sans CJK SC"/>
        <family val="2"/>
      </rPr>
      <t xml:space="preserve">維護性資本支出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</si>
  <si>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年總資本支出 </t>
    </r>
    <r>
      <rPr>
        <sz val="11"/>
        <color theme="1"/>
        <rFont val="Calibri"/>
        <family val="2"/>
        <charset val="1"/>
      </rPr>
      <t xml:space="preserve">147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20,322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0.72%</t>
    </r>
    <r>
      <rPr>
        <sz val="11"/>
        <color theme="1"/>
        <rFont val="Noto Sans CJK SC"/>
        <family val="2"/>
      </rPr>
      <t xml:space="preserve">（含成長性）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</si>
  <si>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營運資金與風險自留</t>
    </r>
  </si>
  <si>
    <t xml:space="preserve">inv_d</t>
  </si>
  <si>
    <r>
      <rPr>
        <sz val="11"/>
        <color theme="1"/>
        <rFont val="Noto Sans CJK SC"/>
        <family val="2"/>
      </rPr>
      <t xml:space="preserve">存貨天數（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零售銷貨成本）</t>
    </r>
  </si>
  <si>
    <t xml:space="preserve">天</t>
  </si>
  <si>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2,408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零售成本 </t>
    </r>
    <r>
      <rPr>
        <sz val="11"/>
        <color theme="1"/>
        <rFont val="Calibri"/>
        <family val="2"/>
        <charset val="1"/>
      </rPr>
      <t xml:space="preserve">3,667 ×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</si>
  <si>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inv_d_C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</si>
  <si>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年存貨天數</t>
    </r>
  </si>
  <si>
    <r>
      <rPr>
        <sz val="11"/>
        <color theme="1"/>
        <rFont val="Noto Sans CJK SC"/>
        <family val="2"/>
      </rPr>
      <t xml:space="preserve">需求下滑時週轉變慢；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上半年堆積、下半年去化（</t>
    </r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選兩年路徑）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</si>
  <si>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天且只設一年</t>
    </r>
  </si>
  <si>
    <t xml:space="preserve">inv_d_C28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</si>
  <si>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年存貨天數</t>
    </r>
  </si>
  <si>
    <r>
      <rPr>
        <sz val="11"/>
        <color theme="1"/>
        <rFont val="Noto Sans CJK SC"/>
        <family val="2"/>
      </rPr>
      <t xml:space="preserve">逐步去化；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年起回到 </t>
    </r>
    <r>
      <rPr>
        <sz val="11"/>
        <color theme="1"/>
        <rFont val="Calibri"/>
        <family val="2"/>
        <charset val="1"/>
      </rPr>
      <t xml:space="preserve">inv_d</t>
    </r>
  </si>
  <si>
    <t xml:space="preserve">fr_d</t>
  </si>
  <si>
    <r>
      <rPr>
        <sz val="11"/>
        <color theme="1"/>
        <rFont val="Noto Sans CJK SC"/>
        <family val="2"/>
      </rPr>
      <t xml:space="preserve">待售貸款天數（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年發放額）</t>
    </r>
  </si>
  <si>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896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 ×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</si>
  <si>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18</t>
    </r>
  </si>
  <si>
    <t xml:space="preserve">ap_pct</t>
  </si>
  <si>
    <r>
      <rPr>
        <sz val="11"/>
        <color theme="1"/>
        <rFont val="Noto Sans CJK SC"/>
        <family val="2"/>
      </rPr>
      <t xml:space="preserve">應付與應計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（銷貨成本＋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）年額</t>
    </r>
  </si>
  <si>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1,574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銷貨成本 </t>
    </r>
    <r>
      <rPr>
        <sz val="11"/>
        <color theme="1"/>
        <rFont val="Calibri"/>
        <family val="2"/>
        <charset val="1"/>
      </rPr>
      <t xml:space="preserve">6,519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 805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5.4%</t>
    </r>
  </si>
  <si>
    <t xml:space="preserve">abs_sh</t>
  </si>
  <si>
    <t xml:space="preserve">證券化占貸款出售比例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</si>
  <si>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前三季證券化 </t>
    </r>
    <r>
      <rPr>
        <sz val="11"/>
        <color theme="1"/>
        <rFont val="Calibri"/>
        <family val="2"/>
        <charset val="1"/>
      </rPr>
      <t xml:space="preserve">3.7B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Ally 5.7</t>
    </r>
    <r>
      <rPr>
        <sz val="11"/>
        <color theme="1"/>
        <rFont val="Noto Sans CJK SC"/>
        <family val="2"/>
      </rPr>
      <t xml:space="preserve">＋證券化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＋整批出售 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）</t>
    </r>
  </si>
  <si>
    <t xml:space="preserve">bi_ret</t>
  </si>
  <si>
    <t xml:space="preserve">證券化風險自留比例</t>
  </si>
  <si>
    <t xml:space="preserve">Verified</t>
  </si>
  <si>
    <r>
      <rPr>
        <sz val="11"/>
        <color theme="1"/>
        <rFont val="Calibri"/>
        <family val="2"/>
        <charset val="1"/>
      </rPr>
      <t xml:space="preserve">Regulation RR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at least 5%</t>
    </r>
    <r>
      <rPr>
        <sz val="11"/>
        <color theme="1"/>
        <rFont val="Noto Sans CJK SC"/>
        <family val="2"/>
      </rPr>
      <t xml:space="preserve">）</t>
    </r>
  </si>
  <si>
    <t xml:space="preserve">bi_adv</t>
  </si>
  <si>
    <t xml:space="preserve">自留受益權的融資成數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</si>
  <si>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：受益權融資 </t>
    </r>
    <r>
      <rPr>
        <sz val="11"/>
        <color theme="1"/>
        <rFont val="Calibri"/>
        <family val="2"/>
        <charset val="1"/>
      </rPr>
      <t xml:space="preserve">427 ÷ </t>
    </r>
    <r>
      <rPr>
        <sz val="11"/>
        <color theme="1"/>
        <rFont val="Noto Sans CJK SC"/>
        <family val="2"/>
      </rPr>
      <t xml:space="preserve">受益權 </t>
    </r>
    <r>
      <rPr>
        <sz val="11"/>
        <color theme="1"/>
        <rFont val="Calibri"/>
        <family val="2"/>
        <charset val="1"/>
      </rPr>
      <t xml:space="preserve">557</t>
    </r>
  </si>
  <si>
    <t xml:space="preserve">公允價值下跌時須補擔保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</si>
  <si>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稅與 </t>
    </r>
    <r>
      <rPr>
        <b val="true"/>
        <sz val="11"/>
        <rFont val="Cambria"/>
        <family val="0"/>
        <charset val="1"/>
      </rPr>
      <t xml:space="preserve">TRA</t>
    </r>
    <r>
      <rPr>
        <b val="true"/>
        <sz val="11"/>
        <rFont val="Noto Sans CJK SC"/>
        <family val="2"/>
      </rPr>
      <t xml:space="preserve">（應收稅款協議）</t>
    </r>
  </si>
  <si>
    <t xml:space="preserve">etr_26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</si>
  <si>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</si>
  <si>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前三季所得稅 </t>
    </r>
    <r>
      <rPr>
        <sz val="11"/>
        <color theme="1"/>
        <rFont val="Calibri"/>
        <family val="2"/>
        <charset val="1"/>
      </rPr>
      <t xml:space="preserve">171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1,572</t>
    </r>
  </si>
  <si>
    <t xml:space="preserve">etr_27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</si>
  <si>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年有效稅率</t>
    </r>
  </si>
  <si>
    <r>
      <rPr>
        <sz val="11"/>
        <color theme="1"/>
        <rFont val="Noto Sans CJK SC"/>
        <family val="2"/>
      </rPr>
      <t xml:space="preserve">非控制權益（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單位）部分不在 </t>
    </r>
    <r>
      <rPr>
        <sz val="11"/>
        <color theme="1"/>
        <rFont val="Calibri"/>
        <family val="2"/>
        <charset val="1"/>
      </rPr>
      <t xml:space="preserve">Carvana Co. </t>
    </r>
    <r>
      <rPr>
        <sz val="11"/>
        <color theme="1"/>
        <rFont val="Noto Sans CJK SC"/>
        <family val="2"/>
      </rPr>
      <t xml:space="preserve">課稅；交換越多稅率越高</t>
    </r>
  </si>
  <si>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線性</t>
    </r>
  </si>
  <si>
    <t xml:space="preserve">etr_30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</si>
  <si>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年起有效稅率</t>
    </r>
  </si>
  <si>
    <t xml:space="preserve">ctr</t>
  </si>
  <si>
    <r>
      <rPr>
        <sz val="11"/>
        <color theme="1"/>
        <rFont val="Noto Sans CJK SC"/>
        <family val="2"/>
      </rPr>
      <t xml:space="preserve">現金稅率（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，遞延所得稅資產抵用期）</t>
    </r>
  </si>
  <si>
    <r>
      <rPr>
        <sz val="11"/>
        <color theme="1"/>
        <rFont val="Noto Sans CJK SC"/>
        <family val="2"/>
      </rPr>
      <t xml:space="preserve">遞延所得稅資產 </t>
    </r>
    <r>
      <rPr>
        <sz val="11"/>
        <color theme="1"/>
        <rFont val="Calibri"/>
        <family val="2"/>
        <charset val="1"/>
      </rPr>
      <t xml:space="preserve">2,905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）；舊註 </t>
    </r>
    <r>
      <rPr>
        <sz val="11"/>
        <color theme="1"/>
        <rFont val="Calibri"/>
        <family val="2"/>
        <charset val="1"/>
      </rPr>
      <t xml:space="preserve">2,968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上半年付稅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XBRL IncomeTaxesPaid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</si>
  <si>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起現金稅＝帳面稅</t>
    </r>
  </si>
  <si>
    <t xml:space="preserve">tra_0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</si>
  <si>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</si>
  <si>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資產負債表：</t>
    </r>
    <r>
      <rPr>
        <sz val="11"/>
        <color theme="1"/>
        <rFont val="Calibri"/>
        <family val="2"/>
        <charset val="1"/>
      </rPr>
      <t xml:space="preserve">2,130</t>
    </r>
    <r>
      <rPr>
        <sz val="11"/>
        <color theme="1"/>
        <rFont val="Noto Sans CJK SC"/>
        <family val="2"/>
      </rPr>
      <t xml:space="preserve">，其中關係人 </t>
    </r>
    <r>
      <rPr>
        <sz val="11"/>
        <color theme="1"/>
        <rFont val="Calibri"/>
        <family val="2"/>
        <charset val="1"/>
      </rPr>
      <t xml:space="preserve">1,645</t>
    </r>
  </si>
  <si>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：公司須支付已實現節稅的 </t>
    </r>
    <r>
      <rPr>
        <sz val="11"/>
        <color theme="1"/>
        <rFont val="Calibri"/>
        <family val="2"/>
        <charset val="1"/>
      </rPr>
      <t xml:space="preserve">85%</t>
    </r>
  </si>
  <si>
    <t xml:space="preserve">tra_q4</t>
  </si>
  <si>
    <r>
      <rPr>
        <sz val="11"/>
        <color theme="1"/>
        <rFont val="Calibri"/>
        <family val="2"/>
        <charset val="1"/>
      </rPr>
      <t xml:space="preserve">2026Q4 TRA </t>
    </r>
    <r>
      <rPr>
        <sz val="11"/>
        <color theme="1"/>
        <rFont val="Noto Sans CJK SC"/>
        <family val="2"/>
      </rPr>
      <t xml:space="preserve">付款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</si>
  <si>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前三季付款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全在上半年（現金流量表）</t>
    </r>
  </si>
  <si>
    <t xml:space="preserve">tra_yrs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</si>
  <si>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平均償付年數（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起平均攤付）</t>
    </r>
  </si>
  <si>
    <t xml:space="preserve">公司未揭露償付時程（未找到）；實際付款隨課稅所得與交換而變</t>
  </si>
  <si>
    <r>
      <rPr>
        <sz val="11"/>
        <color theme="1"/>
        <rFont val="Noto Sans CJK SC"/>
        <family val="2"/>
      </rPr>
      <t xml:space="preserve">之後新增交換會再增加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負債（本版未建模）</t>
    </r>
  </si>
  <si>
    <t xml:space="preserve">ncitax</t>
  </si>
  <si>
    <t xml:space="preserve">代非控制權益繳稅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</si>
  <si>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（現金流量表）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</si>
  <si>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債務與利率（</t>
    </r>
    <r>
      <rPr>
        <b val="true"/>
        <sz val="11"/>
        <rFont val="Cambria"/>
        <family val="0"/>
        <charset val="1"/>
      </rPr>
      <t xml:space="preserve">2026-09-30 </t>
    </r>
    <r>
      <rPr>
        <b val="true"/>
        <sz val="11"/>
        <rFont val="Noto Sans CJK SC"/>
        <family val="2"/>
      </rPr>
      <t xml:space="preserve">結構；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年擔保票據已於 </t>
    </r>
    <r>
      <rPr>
        <b val="true"/>
        <sz val="11"/>
        <rFont val="Cambria"/>
        <family val="0"/>
        <charset val="1"/>
      </rPr>
      <t xml:space="preserve">2026-08 </t>
    </r>
    <r>
      <rPr>
        <b val="true"/>
        <sz val="11"/>
        <rFont val="Noto Sans CJK SC"/>
        <family val="2"/>
      </rPr>
      <t xml:space="preserve">以定期貸款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贖回）</t>
    </r>
  </si>
  <si>
    <t xml:space="preserve">sofr</t>
  </si>
  <si>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</si>
  <si>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sofrrate.com 2026-10 </t>
    </r>
    <r>
      <rPr>
        <sz val="11"/>
        <color theme="1"/>
        <rFont val="Noto Sans CJK SC"/>
        <family val="2"/>
      </rPr>
      <t xml:space="preserve">每日表：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3.93%</t>
    </r>
  </si>
  <si>
    <t xml:space="preserve">各年持平（判斷）</t>
  </si>
  <si>
    <t xml:space="preserve">tlb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</si>
  <si>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2033-08-14 </t>
    </r>
    <r>
      <rPr>
        <sz val="11"/>
        <color theme="1"/>
        <rFont val="Noto Sans CJK SC"/>
        <family val="2"/>
      </rPr>
      <t xml:space="preserve">到期）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</si>
  <si>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OID 4</t>
    </r>
    <r>
      <rPr>
        <sz val="11"/>
        <color theme="1"/>
        <rFont val="Noto Sans CJK SC"/>
        <family val="2"/>
      </rPr>
      <t xml:space="preserve">、發行成本 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</si>
  <si>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每季攤還原始本金 </t>
    </r>
    <r>
      <rPr>
        <sz val="11"/>
        <color theme="1"/>
        <rFont val="Calibri"/>
        <family val="2"/>
        <charset val="1"/>
      </rPr>
      <t xml:space="preserve">0.25%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</si>
  <si>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swap_fix</t>
  </si>
  <si>
    <r>
      <rPr>
        <sz val="11"/>
        <color theme="1"/>
        <rFont val="Noto Sans CJK SC"/>
        <family val="2"/>
      </rPr>
      <t xml:space="preserve">利率交換固定利率（付固定、收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Term SOFR</t>
    </r>
    <r>
      <rPr>
        <sz val="11"/>
        <color theme="1"/>
        <rFont val="Noto Sans CJK SC"/>
        <family val="2"/>
      </rPr>
      <t xml:space="preserve">；名目 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2028-07-31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</si>
  <si>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、第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項：</t>
    </r>
    <r>
      <rPr>
        <sz val="11"/>
        <color theme="1"/>
        <rFont val="Calibri"/>
        <family val="2"/>
        <charset val="1"/>
      </rPr>
      <t xml:space="preserve">4.055%</t>
    </r>
  </si>
  <si>
    <r>
      <rPr>
        <sz val="11"/>
        <color theme="1"/>
        <rFont val="Noto Sans CJK SC"/>
        <family val="2"/>
      </rPr>
      <t xml:space="preserve">交換期間定期貸款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實質固定在 </t>
    </r>
    <r>
      <rPr>
        <sz val="11"/>
        <color theme="1"/>
        <rFont val="Calibri"/>
        <family val="2"/>
        <charset val="1"/>
      </rPr>
      <t xml:space="preserve">6.305%</t>
    </r>
    <r>
      <rPr>
        <sz val="11"/>
        <color theme="1"/>
        <rFont val="Noto Sans CJK SC"/>
        <family val="2"/>
      </rPr>
      <t xml:space="preserve">；之後隨 </t>
    </r>
    <r>
      <rPr>
        <sz val="11"/>
        <color theme="1"/>
        <rFont val="Calibri"/>
        <family val="2"/>
        <charset val="1"/>
      </rPr>
      <t xml:space="preserve">SOFR </t>
    </r>
    <r>
      <rPr>
        <sz val="11"/>
        <color theme="1"/>
        <rFont val="Noto Sans CJK SC"/>
        <family val="2"/>
      </rPr>
      <t xml:space="preserve">浮動</t>
    </r>
  </si>
  <si>
    <t xml:space="preserve">tlb_sp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</si>
  <si>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</si>
  <si>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Term SOFR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2.25%</t>
    </r>
  </si>
  <si>
    <r>
      <rPr>
        <sz val="11"/>
        <color theme="1"/>
        <rFont val="Noto Sans CJK SC"/>
        <family val="2"/>
      </rPr>
      <t xml:space="preserve">公司稱每年省利息約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 </t>
    </r>
    <r>
      <rPr>
        <sz val="11"/>
        <color theme="1"/>
        <rFont val="Noto Sans CJK SC"/>
        <family val="2"/>
      </rPr>
      <t xml:space="preserve">新聞稿）</t>
    </r>
  </si>
  <si>
    <t xml:space="preserve">ssn_31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</si>
  <si>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年到期擔保票據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</si>
  <si>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</si>
  <si>
    <r>
      <rPr>
        <sz val="11"/>
        <color theme="1"/>
        <rFont val="Calibri"/>
        <family val="2"/>
        <charset val="1"/>
      </rPr>
      <t xml:space="preserve">2028-08-15 </t>
    </r>
    <r>
      <rPr>
        <sz val="11"/>
        <color theme="1"/>
        <rFont val="Noto Sans CJK SC"/>
        <family val="2"/>
      </rPr>
      <t xml:space="preserve">前僅能以補償溢價贖回</t>
    </r>
  </si>
  <si>
    <t xml:space="preserve">ssn_r</t>
  </si>
  <si>
    <t xml:space="preserve">擔保票據現金利率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</si>
  <si>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PIK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結束）</t>
    </r>
  </si>
  <si>
    <t xml:space="preserve">refi_yr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</si>
  <si>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年票據再融資年度</t>
    </r>
  </si>
  <si>
    <r>
      <rPr>
        <sz val="11"/>
        <color theme="1"/>
        <rFont val="Calibri"/>
        <family val="2"/>
        <charset val="1"/>
      </rPr>
      <t xml:space="preserve">2028-08-15 </t>
    </r>
    <r>
      <rPr>
        <sz val="11"/>
        <color theme="1"/>
        <rFont val="Noto Sans CJK SC"/>
        <family val="2"/>
      </rPr>
      <t xml:space="preserve">起可依贖回價格贖回（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</si>
  <si>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年到期時再融資</t>
    </r>
  </si>
  <si>
    <t xml:space="preserve">refi_sp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</si>
  <si>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：再融資利差（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</si>
  <si>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年定期貸款 </t>
    </r>
    <r>
      <rPr>
        <sz val="11"/>
        <color theme="1"/>
        <rFont val="Calibri"/>
        <family val="2"/>
        <charset val="1"/>
      </rPr>
      <t xml:space="preserve">B 2.25%</t>
    </r>
  </si>
  <si>
    <t xml:space="preserve">refi_prem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</si>
  <si>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年票據提前贖回溢價</t>
    </r>
  </si>
  <si>
    <t xml:space="preserve">贖回價格表：未找到（契約未在本次取得的文件中）；高收益債慣例首個贖回日為票面＋半年息</t>
  </si>
  <si>
    <t xml:space="preserve">stress_sp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</si>
  <si>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年到期再融資利差（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</si>
  <si>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t xml:space="preserve">信用循環中的高收益擔保債利差（判斷）</t>
  </si>
  <si>
    <t xml:space="preserve">uns</t>
  </si>
  <si>
    <r>
      <rPr>
        <sz val="11"/>
        <color theme="1"/>
        <rFont val="Noto Sans CJK SC"/>
        <family val="2"/>
      </rPr>
      <t xml:space="preserve">無擔保票據（</t>
    </r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到期）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</si>
  <si>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</t>
    </r>
  </si>
  <si>
    <t xml:space="preserve">uns_r</t>
  </si>
  <si>
    <t xml:space="preserve">無擔保票據加權利率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</si>
  <si>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各期利率</t>
    </r>
  </si>
  <si>
    <t xml:space="preserve">re_fin</t>
  </si>
  <si>
    <t xml:space="preserve">不動產售後租回融資</t>
  </si>
  <si>
    <r>
      <rPr>
        <sz val="11"/>
        <color theme="1"/>
        <rFont val="Noto Sans CJK SC"/>
        <family val="2"/>
      </rPr>
      <t xml:space="preserve">期限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年；本版不攤還</t>
    </r>
  </si>
  <si>
    <t xml:space="preserve">re_r</t>
  </si>
  <si>
    <t xml:space="preserve">不動產融資利率</t>
  </si>
  <si>
    <t xml:space="preserve">隱含利率：未找到</t>
  </si>
  <si>
    <t xml:space="preserve">bi_r</t>
  </si>
  <si>
    <t xml:space="preserve">受益權融資利率</t>
  </si>
  <si>
    <t xml:space="preserve">未找到</t>
  </si>
  <si>
    <t xml:space="preserve">fleet</t>
  </si>
  <si>
    <t xml:space="preserve">運輸車隊融資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</si>
  <si>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Citizens Bank</t>
    </r>
    <r>
      <rPr>
        <sz val="11"/>
        <color theme="1"/>
        <rFont val="Noto Sans CJK SC"/>
        <family val="2"/>
      </rPr>
      <t xml:space="preserve">，額度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</t>
    </r>
  </si>
  <si>
    <t xml:space="preserve">本版持平</t>
  </si>
  <si>
    <t xml:space="preserve">fleet_r</t>
  </si>
  <si>
    <t xml:space="preserve">運輸車隊融資利率</t>
  </si>
  <si>
    <r>
      <rPr>
        <sz val="11"/>
        <color theme="1"/>
        <rFont val="Calibri"/>
        <family val="2"/>
        <charset val="1"/>
      </rPr>
      <t xml:space="preserve">SOFR </t>
    </r>
    <r>
      <rPr>
        <sz val="11"/>
        <color theme="1"/>
        <rFont val="Noto Sans CJK SC"/>
        <family val="2"/>
      </rPr>
      <t xml:space="preserve">交換利率約 </t>
    </r>
    <r>
      <rPr>
        <sz val="11"/>
        <color theme="1"/>
        <rFont val="Calibri"/>
        <family val="2"/>
        <charset val="1"/>
      </rPr>
      <t xml:space="preserve">3.6%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2.80–2.95%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</t>
    </r>
  </si>
  <si>
    <t xml:space="preserve">finls</t>
  </si>
  <si>
    <t xml:space="preserve">融資租賃負債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</si>
  <si>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XBRL FinanceLeaseLiability</t>
    </r>
    <r>
      <rPr>
        <sz val="11"/>
        <color theme="1"/>
        <rFont val="Noto Sans CJK SC"/>
        <family val="2"/>
      </rPr>
      <t xml:space="preserve">）</t>
    </r>
  </si>
  <si>
    <t xml:space="preserve">finls_r</t>
  </si>
  <si>
    <t xml:space="preserve">融資租賃折現率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</si>
  <si>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）：加權平均折現率 </t>
    </r>
    <r>
      <rPr>
        <sz val="11"/>
        <color theme="1"/>
        <rFont val="Calibri"/>
        <family val="2"/>
        <charset val="1"/>
      </rPr>
      <t xml:space="preserve">6.4%</t>
    </r>
  </si>
  <si>
    <t xml:space="preserve">fp_ratio</t>
  </si>
  <si>
    <r>
      <rPr>
        <sz val="11"/>
        <color theme="1"/>
        <rFont val="Noto Sans CJK SC"/>
        <family val="2"/>
      </rPr>
      <t xml:space="preserve">存貨融資（</t>
    </r>
    <r>
      <rPr>
        <sz val="11"/>
        <color theme="1"/>
        <rFont val="Calibri"/>
        <family val="2"/>
        <charset val="1"/>
      </rPr>
      <t xml:space="preserve">Ally floor plan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存貨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</si>
  <si>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floor plan 71 ÷ </t>
    </r>
    <r>
      <rPr>
        <sz val="11"/>
        <color theme="1"/>
        <rFont val="Noto Sans CJK SC"/>
        <family val="2"/>
      </rPr>
      <t xml:space="preserve">存貨 </t>
    </r>
    <r>
      <rPr>
        <sz val="11"/>
        <color theme="1"/>
        <rFont val="Calibri"/>
        <family val="2"/>
        <charset val="1"/>
      </rPr>
      <t xml:space="preserve">3,456</t>
    </r>
  </si>
  <si>
    <r>
      <rPr>
        <sz val="11"/>
        <color theme="1"/>
        <rFont val="Noto Sans CJK SC"/>
        <family val="2"/>
      </rPr>
      <t xml:space="preserve">額度 </t>
    </r>
    <r>
      <rPr>
        <sz val="11"/>
        <color theme="1"/>
        <rFont val="Calibri"/>
        <family val="2"/>
        <charset val="1"/>
      </rPr>
      <t xml:space="preserve">1.5B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2027-04-30</t>
    </r>
  </si>
  <si>
    <t xml:space="preserve">fp_r</t>
  </si>
  <si>
    <t xml:space="preserve">存貨融資利率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</si>
  <si>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有效利率 </t>
    </r>
    <r>
      <rPr>
        <sz val="11"/>
        <color theme="1"/>
        <rFont val="Calibri"/>
        <family val="2"/>
        <charset val="1"/>
      </rPr>
      <t xml:space="preserve">4.44%</t>
    </r>
  </si>
  <si>
    <t xml:space="preserve">cash_y</t>
  </si>
  <si>
    <t xml:space="preserve">現金利息收益率</t>
  </si>
  <si>
    <r>
      <rPr>
        <sz val="11"/>
        <color theme="1"/>
        <rFont val="Calibri"/>
        <family val="2"/>
        <charset val="1"/>
      </rPr>
      <t xml:space="preserve">SOFR 3.93% </t>
    </r>
    <r>
      <rPr>
        <sz val="11"/>
        <color theme="1"/>
        <rFont val="Noto Sans CJK SC"/>
        <family val="2"/>
      </rPr>
      <t xml:space="preserve">減貨幣基金費用（判斷）</t>
    </r>
  </si>
  <si>
    <t xml:space="preserve">利息費用為淨額口徑</t>
  </si>
  <si>
    <t xml:space="preserve">int_lq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</si>
  <si>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利息費用（淨）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</si>
  <si>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</si>
  <si>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）；校準時已扣除此部分</t>
    </r>
  </si>
  <si>
    <t xml:space="preserve">refi_save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</si>
  <si>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每年利息節省（公司說法）</t>
    </r>
  </si>
  <si>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2026-08-12</t>
    </r>
  </si>
  <si>
    <t xml:space="preserve">僅供對照</t>
  </si>
  <si>
    <t xml:space="preserve">redeem_cost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</si>
  <si>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年票據贖回溢價（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年已付）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</si>
  <si>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1,711 </t>
    </r>
    <r>
      <rPr>
        <sz val="11"/>
        <color theme="1"/>
        <rFont val="Noto Sans CJK SC"/>
        <family val="2"/>
      </rPr>
      <t xml:space="preserve">贖回本金 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（溢價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、利息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）；清償損失 </t>
    </r>
    <r>
      <rPr>
        <sz val="11"/>
        <color theme="1"/>
        <rFont val="Calibri"/>
        <family val="2"/>
        <charset val="1"/>
      </rPr>
      <t xml:space="preserve">53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</si>
  <si>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50</t>
    </r>
  </si>
  <si>
    <t xml:space="preserve">cash_cap</t>
  </si>
  <si>
    <t xml:space="preserve">現金上限（超過部分視為回饋股東或提前還債）</t>
  </si>
  <si>
    <t xml:space="preserve">公司未揭露資本配置政策（未找到）；避免現金無限累積造成利息收入膨脹</t>
  </si>
  <si>
    <t xml:space="preserve">不影響收支關卡</t>
  </si>
  <si>
    <t xml:space="preserve">min_cash</t>
  </si>
  <si>
    <t xml:space="preserve">最低營運現金</t>
  </si>
  <si>
    <t xml:space="preserve">低於此即視為需外部融資</t>
  </si>
  <si>
    <t xml:space="preserve">new_r_sp</t>
  </si>
  <si>
    <r>
      <rPr>
        <sz val="11"/>
        <color theme="1"/>
        <rFont val="Noto Sans CJK SC"/>
        <family val="2"/>
      </rPr>
      <t xml:space="preserve">新增外部融資利差（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</si>
  <si>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t xml:space="preserve">收支缺口以高收益擔保債補足（判斷）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</si>
  <si>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貸款去化（承接）能力</t>
    </r>
  </si>
  <si>
    <t xml:space="preserve">ally_cap</t>
  </si>
  <si>
    <r>
      <rPr>
        <sz val="11"/>
        <color theme="1"/>
        <rFont val="Calibri"/>
        <family val="2"/>
        <charset val="1"/>
      </rPr>
      <t xml:space="preserve">Ally </t>
    </r>
    <r>
      <rPr>
        <sz val="11"/>
        <color theme="1"/>
        <rFont val="Noto Sans CJK SC"/>
        <family val="2"/>
      </rPr>
      <t xml:space="preserve">遠期承購承諾（</t>
    </r>
    <r>
      <rPr>
        <sz val="11"/>
        <color theme="1"/>
        <rFont val="Calibri"/>
        <family val="2"/>
        <charset val="1"/>
      </rPr>
      <t xml:space="preserve">2026-07-27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2027-07-26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</si>
  <si>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8.0B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未用 </t>
    </r>
    <r>
      <rPr>
        <sz val="11"/>
        <color theme="1"/>
        <rFont val="Calibri"/>
        <family val="2"/>
        <charset val="1"/>
      </rPr>
      <t xml:space="preserve">6.0B</t>
    </r>
  </si>
  <si>
    <t xml:space="preserve">每年續約一次</t>
  </si>
  <si>
    <t xml:space="preserve">fp_unused</t>
  </si>
  <si>
    <r>
      <rPr>
        <sz val="11"/>
        <color theme="1"/>
        <rFont val="Noto Sans CJK SC"/>
        <family val="2"/>
      </rPr>
      <t xml:space="preserve">整批出售協議未用額度（至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年第四季）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</si>
  <si>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：未用 </t>
    </r>
    <r>
      <rPr>
        <sz val="11"/>
        <color theme="1"/>
        <rFont val="Calibri"/>
        <family val="2"/>
        <charset val="1"/>
      </rPr>
      <t xml:space="preserve">8.3B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</si>
  <si>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換算每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個月：</t>
    </r>
    <r>
      <rPr>
        <sz val="11"/>
        <color theme="1"/>
        <rFont val="Calibri"/>
        <family val="2"/>
        <charset val="1"/>
      </rPr>
      <t xml:space="preserve">÷ fp_yrs</t>
    </r>
  </si>
  <si>
    <t xml:space="preserve">fp_yrs</t>
  </si>
  <si>
    <r>
      <rPr>
        <sz val="11"/>
        <color theme="1"/>
        <rFont val="Noto Sans CJK SC"/>
        <family val="2"/>
      </rPr>
      <t xml:space="preserve">整批出售協議剩餘年數（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</si>
  <si>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個月</t>
    </r>
  </si>
  <si>
    <t xml:space="preserve">abs_rr</t>
  </si>
  <si>
    <t xml:space="preserve">證券化年化量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</si>
  <si>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3.7B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</si>
  <si>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非承諾；依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</t>
    </r>
  </si>
  <si>
    <t xml:space="preserve">wh_unused</t>
  </si>
  <si>
    <r>
      <rPr>
        <sz val="11"/>
        <color theme="1"/>
        <rFont val="Noto Sans CJK SC"/>
        <family val="2"/>
      </rPr>
      <t xml:space="preserve">倉儲（</t>
    </r>
    <r>
      <rPr>
        <sz val="11"/>
        <color theme="1"/>
        <rFont val="Calibri"/>
        <family val="2"/>
        <charset val="1"/>
      </rPr>
      <t xml:space="preserve">Finance Receivable Facilities</t>
    </r>
    <r>
      <rPr>
        <sz val="11"/>
        <color theme="1"/>
        <rFont val="Noto Sans CJK SC"/>
        <family val="2"/>
      </rPr>
      <t xml:space="preserve">）未用額度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</si>
  <si>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：未用 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；到期日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2027-11</t>
    </r>
  </si>
  <si>
    <t xml:space="preserve">wh_adv</t>
  </si>
  <si>
    <t xml:space="preserve">倉儲額度墊款成數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</si>
  <si>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消費信用壓力（情境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的利得率推導）</t>
    </r>
  </si>
  <si>
    <t xml:space="preserve">dcnl_C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</si>
  <si>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：新放款終身累計淨損失增幅</t>
    </r>
  </si>
  <si>
    <t xml:space="preserve">pt</t>
  </si>
  <si>
    <r>
      <rPr>
        <sz val="11"/>
        <color theme="1"/>
        <rFont val="Noto Sans CJK SC"/>
        <family val="2"/>
      </rPr>
      <t xml:space="preserve">對照：管理組合淨沖銷率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1.46% →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4.49%</t>
    </r>
    <r>
      <rPr>
        <sz val="11"/>
        <color theme="1"/>
        <rFont val="Noto Sans CJK SC"/>
        <family val="2"/>
      </rPr>
      <t xml:space="preserve">（三年 </t>
    </r>
    <r>
      <rPr>
        <sz val="11"/>
        <color theme="1"/>
        <rFont val="Calibri"/>
        <family val="2"/>
        <charset val="1"/>
      </rPr>
      <t xml:space="preserve">+3.0 pt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S1</t>
    </r>
    <r>
      <rPr>
        <sz val="11"/>
        <color theme="1"/>
        <rFont val="Noto Sans CJK SC"/>
        <family val="2"/>
      </rPr>
      <t xml:space="preserve">）</t>
    </r>
  </si>
  <si>
    <t xml:space="preserve">loss_pt</t>
  </si>
  <si>
    <t xml:space="preserve">損失增幅傳導到出售價格的比例</t>
  </si>
  <si>
    <t xml:space="preserve">x</t>
  </si>
  <si>
    <t xml:space="preserve">買方以預期損失扣價；回收已在淨額中</t>
  </si>
  <si>
    <t xml:space="preserve">dspr_C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</si>
  <si>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ABS</t>
    </r>
    <r>
      <rPr>
        <sz val="11"/>
        <color theme="1"/>
        <rFont val="Noto Sans CJK SC"/>
        <family val="2"/>
      </rPr>
      <t xml:space="preserve">／整批買方要求利差擴大</t>
    </r>
  </si>
  <si>
    <t xml:space="preserve">判斷</t>
  </si>
  <si>
    <t xml:space="preserve">dur</t>
  </si>
  <si>
    <t xml:space="preserve">出售貸款的價格存續期間</t>
  </si>
  <si>
    <r>
      <rPr>
        <sz val="11"/>
        <color theme="1"/>
        <rFont val="Calibri"/>
        <family val="2"/>
        <charset val="1"/>
      </rPr>
      <t xml:space="preserve">2026-P3 </t>
    </r>
    <r>
      <rPr>
        <sz val="11"/>
        <color theme="1"/>
        <rFont val="Noto Sans CJK SC"/>
        <family val="2"/>
      </rPr>
      <t xml:space="preserve">貸款池（</t>
    </r>
    <r>
      <rPr>
        <sz val="11"/>
        <color theme="1"/>
        <rFont val="Calibri"/>
        <family val="2"/>
        <charset val="1"/>
      </rPr>
      <t xml:space="preserve">APR 10.77%</t>
    </r>
    <r>
      <rPr>
        <sz val="11"/>
        <color theme="1"/>
        <rFont val="Noto Sans CJK SC"/>
        <family val="2"/>
      </rPr>
      <t xml:space="preserve">、剩餘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Noto Sans CJK SC"/>
        <family val="2"/>
      </rPr>
      <t xml:space="preserve">個月、發行人定價速度 </t>
    </r>
    <r>
      <rPr>
        <sz val="11"/>
        <color theme="1"/>
        <rFont val="Calibri"/>
        <family val="2"/>
        <charset val="1"/>
      </rPr>
      <t xml:space="preserve">ABS 1.30%</t>
    </r>
    <r>
      <rPr>
        <sz val="11"/>
        <color theme="1"/>
        <rFont val="Noto Sans CJK SC"/>
        <family val="2"/>
      </rPr>
      <t xml:space="preserve">）模擬：</t>
    </r>
    <r>
      <rPr>
        <sz val="11"/>
        <color theme="1"/>
        <rFont val="Calibri"/>
        <family val="2"/>
        <charset val="1"/>
      </rPr>
      <t xml:space="preserve">WAL 2.25–2.31 </t>
    </r>
    <r>
      <rPr>
        <sz val="11"/>
        <color theme="1"/>
        <rFont val="Noto Sans CJK SC"/>
        <family val="2"/>
      </rPr>
      <t xml:space="preserve">年、修正存續期間 </t>
    </r>
    <r>
      <rPr>
        <sz val="11"/>
        <color theme="1"/>
        <rFont val="Calibri"/>
        <family val="2"/>
        <charset val="1"/>
      </rPr>
      <t xml:space="preserve">1.98–2.02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ABS 1.1–1.5%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1.84–2.16</t>
    </r>
  </si>
  <si>
    <r>
      <rPr>
        <sz val="11"/>
        <color theme="1"/>
        <rFont val="Noto Sans CJK SC"/>
        <family val="2"/>
      </rPr>
      <t xml:space="preserve">執行長稱每 </t>
    </r>
    <r>
      <rPr>
        <sz val="11"/>
        <color theme="1"/>
        <rFont val="Calibri"/>
        <family val="2"/>
        <charset val="1"/>
      </rPr>
      <t xml:space="preserve">1bp </t>
    </r>
    <r>
      <rPr>
        <sz val="11"/>
        <color theme="1"/>
        <rFont val="Noto Sans CJK SC"/>
        <family val="2"/>
      </rPr>
      <t xml:space="preserve">每台約 </t>
    </r>
    <r>
      <rPr>
        <sz val="11"/>
        <color theme="1"/>
        <rFont val="Calibri"/>
        <family val="2"/>
        <charset val="1"/>
      </rPr>
      <t xml:space="preserve">4–5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法說）；模型隱含約 </t>
    </r>
    <r>
      <rPr>
        <sz val="11"/>
        <color theme="1"/>
        <rFont val="Calibri"/>
        <family val="2"/>
        <charset val="1"/>
      </rPr>
      <t xml:space="preserve">4.8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</si>
  <si>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估值</t>
    </r>
  </si>
  <si>
    <t xml:space="preserve">rf</t>
  </si>
  <si>
    <r>
      <rPr>
        <sz val="11"/>
        <color theme="1"/>
        <rFont val="Noto Sans CJK SC"/>
        <family val="2"/>
      </rPr>
      <t xml:space="preserve">無風險利率（美國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</si>
  <si>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同一輸入（美國財政部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）</t>
    </r>
  </si>
  <si>
    <t xml:space="preserve">跨模型一致</t>
  </si>
  <si>
    <t xml:space="preserve">beta_raw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</si>
  <si>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</si>
  <si>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</si>
  <si>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年股價崩跌期</t>
    </r>
  </si>
  <si>
    <t xml:space="preserve">beta</t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</si>
  <si>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調整：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</si>
  <si>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Oracle v0.4 </t>
    </r>
    <r>
      <rPr>
        <sz val="11"/>
        <color theme="1"/>
        <rFont val="Noto Sans CJK SC"/>
        <family val="2"/>
      </rPr>
      <t xml:space="preserve">修正一的方法</t>
    </r>
  </si>
  <si>
    <r>
      <rPr>
        <sz val="11"/>
        <color theme="1"/>
        <rFont val="Noto Sans CJK SC"/>
        <family val="2"/>
      </rPr>
      <t xml:space="preserve">低值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為判斷（成長型汽車零售）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</si>
  <si>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</si>
  <si>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</si>
  <si>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慣例</t>
    </r>
  </si>
  <si>
    <t xml:space="preserve">kd</t>
  </si>
  <si>
    <t xml:space="preserve">稅前債務成本</t>
  </si>
  <si>
    <r>
      <rPr>
        <sz val="11"/>
        <color theme="1"/>
        <rFont val="Noto Sans CJK SC"/>
        <family val="2"/>
      </rPr>
      <t xml:space="preserve">主要長期債務加權（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再融資後）</t>
    </r>
  </si>
  <si>
    <t xml:space="preserve">t_val</t>
  </si>
  <si>
    <t xml:space="preserve">估值用稅率（利息稅盾）</t>
  </si>
  <si>
    <t xml:space="preserve">美國聯邦稅率</t>
  </si>
  <si>
    <t xml:space="preserve">g_tv</t>
  </si>
  <si>
    <t xml:space="preserve">永續成長率</t>
  </si>
  <si>
    <t xml:space="preserve">peer_lad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</si>
  <si>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Lithia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</si>
  <si>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擷取，近四季）</t>
    </r>
  </si>
  <si>
    <t xml:space="preserve">peer_an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</si>
  <si>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AutoNation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</si>
  <si>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擷取，近四季）</t>
    </r>
  </si>
  <si>
    <r>
      <rPr>
        <sz val="11"/>
        <color theme="1"/>
        <rFont val="Calibri"/>
        <family val="2"/>
        <charset val="1"/>
      </rPr>
      <t xml:space="preserve">CarMax 22.51x </t>
    </r>
    <r>
      <rPr>
        <sz val="11"/>
        <color theme="1"/>
        <rFont val="Noto Sans CJK SC"/>
        <family val="2"/>
      </rPr>
      <t xml:space="preserve">不採用：其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含自營車貸（</t>
    </r>
    <r>
      <rPr>
        <sz val="11"/>
        <color theme="1"/>
        <rFont val="Calibri"/>
        <family val="2"/>
        <charset val="1"/>
      </rPr>
      <t xml:space="preserve">CAF</t>
    </r>
    <r>
      <rPr>
        <sz val="11"/>
        <color theme="1"/>
        <rFont val="Noto Sans CJK SC"/>
        <family val="2"/>
      </rPr>
      <t xml:space="preserve">）無追索權債務，口徑不同</t>
    </r>
  </si>
  <si>
    <t xml:space="preserve">prem</t>
  </si>
  <si>
    <t xml:space="preserve">成長溢價倍數（相對同業中位數）</t>
  </si>
  <si>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台數成長約為同業數倍（判斷）；市場現值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／近四季調整後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25x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</si>
  <si>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Assumed</t>
    </r>
  </si>
  <si>
    <t xml:space="preserve">w_dcf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</si>
  <si>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權重（其餘為倍數法）</t>
    </r>
  </si>
  <si>
    <r>
      <rPr>
        <sz val="11"/>
        <color theme="1"/>
        <rFont val="Noto Sans CJK SC"/>
        <family val="2"/>
      </rPr>
      <t xml:space="preserve">沿用個股模型原則第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條預設</t>
    </r>
  </si>
  <si>
    <t xml:space="preserve">p_A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</si>
  <si>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機率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</si>
  <si>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慣例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</si>
  <si>
    <t xml:space="preserve">p_B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</si>
  <si>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機率</t>
    </r>
  </si>
  <si>
    <t xml:space="preserve">p_C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</si>
  <si>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機率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</si>
  <si>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對帳用外部數字</t>
    </r>
  </si>
  <si>
    <t xml:space="preserve">guide_lo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</si>
  <si>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指引下限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</si>
  <si>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2.7–3.0B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higher end</t>
    </r>
  </si>
  <si>
    <r>
      <rPr>
        <sz val="11"/>
        <color theme="1"/>
        <rFont val="Noto Sans CJK SC"/>
        <family val="2"/>
      </rPr>
      <t xml:space="preserve">公司自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起不再提供季度與年度指引</t>
    </r>
  </si>
  <si>
    <t xml:space="preserve">guide_hi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</si>
  <si>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指引上限</t>
    </r>
  </si>
  <si>
    <t xml:space="preserve">om_tgt</t>
  </si>
  <si>
    <r>
      <rPr>
        <sz val="11"/>
        <color theme="1"/>
        <rFont val="Noto Sans CJK SC"/>
        <family val="2"/>
      </rPr>
      <t xml:space="preserve">公司中期目標：營業利益率（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萬台，</t>
    </r>
    <r>
      <rPr>
        <sz val="11"/>
        <color theme="1"/>
        <rFont val="Calibri"/>
        <family val="2"/>
        <charset val="1"/>
      </rPr>
      <t xml:space="preserve">2030–2035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</si>
  <si>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起改以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12.5% </t>
    </r>
    <r>
      <rPr>
        <sz val="11"/>
        <color theme="1"/>
        <rFont val="Noto Sans CJK SC"/>
        <family val="2"/>
      </rPr>
      <t xml:space="preserve">營業利益率（等同原 </t>
    </r>
    <r>
      <rPr>
        <sz val="11"/>
        <color theme="1"/>
        <rFont val="Calibri"/>
        <family val="2"/>
        <charset val="1"/>
      </rPr>
      <t xml:space="preserve">13.5%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率）</t>
    </r>
  </si>
  <si>
    <t xml:space="preserve">cons_q3_units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</si>
  <si>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零售台數共識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</si>
  <si>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2026-10-23</t>
    </r>
    <r>
      <rPr>
        <sz val="11"/>
        <color theme="1"/>
        <rFont val="Noto Sans CJK SC"/>
        <family val="2"/>
      </rPr>
      <t xml:space="preserve">）</t>
    </r>
  </si>
  <si>
    <t xml:space="preserve">cons_q3_ebitda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</si>
  <si>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</si>
  <si>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StockStory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</si>
  <si>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cons_q3_gpr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</si>
  <si>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</si>
  <si>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Zacks</t>
  </si>
  <si>
    <t xml:space="preserve">cons_q3_gpo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</si>
  <si>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</si>
  <si>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cons_q3_gpw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</si>
  <si>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</si>
  <si>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cons_q3_rev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</si>
  <si>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營收共識</t>
    </r>
  </si>
  <si>
    <t xml:space="preserve">an_tgt</t>
  </si>
  <si>
    <r>
      <rPr>
        <sz val="11"/>
        <color theme="1"/>
        <rFont val="Noto Sans CJK SC"/>
        <family val="2"/>
      </rPr>
      <t xml:space="preserve">分析師平均目標價（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</si>
  <si>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）：平均約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60</t>
    </r>
  </si>
  <si>
    <t xml:space="preserve">賣方分析師</t>
  </si>
  <si>
    <t xml:space="preserve">moody_lev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</si>
  <si>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升評門檻：債務／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低於</t>
    </r>
  </si>
  <si>
    <r>
      <rPr>
        <sz val="11"/>
        <color theme="1"/>
        <rFont val="Calibri"/>
        <family val="2"/>
        <charset val="1"/>
      </rPr>
      <t xml:space="preserve">Moody's 2025-10-02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、展望正向（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</si>
  <si>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年評等動作：未找到</t>
    </r>
  </si>
  <si>
    <t xml:space="preserve">moody_cov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</si>
  <si>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升評門檻：（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資本支出）／利息高於</t>
    </r>
  </si>
  <si>
    <t xml:space="preserve">sp_lev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</si>
  <si>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正向門檻：債務／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低於</t>
    </r>
  </si>
  <si>
    <r>
      <rPr>
        <sz val="11"/>
        <color theme="1"/>
        <rFont val="Calibri"/>
        <family val="2"/>
        <charset val="1"/>
      </rPr>
      <t xml:space="preserve">S&amp;P 2025-03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、展望正向（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報導）</t>
    </r>
  </si>
  <si>
    <t xml:space="preserve">sp_focf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</si>
  <si>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正向門檻：</t>
    </r>
    <r>
      <rPr>
        <sz val="11"/>
        <color theme="1"/>
        <rFont val="Calibri"/>
        <family val="2"/>
        <charset val="1"/>
      </rPr>
      <t xml:space="preserve">FOCF</t>
    </r>
    <r>
      <rPr>
        <sz val="11"/>
        <color theme="1"/>
        <rFont val="Noto Sans CJK SC"/>
        <family val="2"/>
      </rPr>
      <t xml:space="preserve">／債務高於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</si>
  <si>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事實總帳（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；台數為輛）。來源：各季股東信（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carvana/data/carvana_facts_20261029.json</t>
    </r>
  </si>
  <si>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C–J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Q4'24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Q1'26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Q2'26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Q3'26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前三季；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。核對列應為 </t>
    </r>
    <r>
      <rPr>
        <sz val="11"/>
        <color theme="1"/>
        <rFont val="Calibri"/>
        <family val="2"/>
        <charset val="1"/>
      </rPr>
      <t xml:space="preserve">0</t>
    </r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</si>
  <si>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</si>
  <si>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</si>
  <si>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</si>
  <si>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</si>
  <si>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</si>
  <si>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</si>
  <si>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Q2'26</t>
  </si>
  <si>
    <t xml:space="preserve">Q3'26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</si>
  <si>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前三季</t>
    </r>
  </si>
  <si>
    <t xml:space="preserve">FY2024</t>
  </si>
  <si>
    <t xml:space="preserve">FY2025</t>
  </si>
  <si>
    <t xml:space="preserve">零售台數</t>
  </si>
  <si>
    <t xml:space="preserve">批發台數</t>
  </si>
  <si>
    <t xml:space="preserve">零售車輛銷售</t>
  </si>
  <si>
    <t xml:space="preserve">批發銷售與營收</t>
  </si>
  <si>
    <t xml:space="preserve">其他銷售與營收</t>
  </si>
  <si>
    <t xml:space="preserve">合併營收</t>
  </si>
  <si>
    <t xml:space="preserve">零售毛利</t>
  </si>
  <si>
    <t xml:space="preserve">批發毛利</t>
  </si>
  <si>
    <t xml:space="preserve">SG&amp;A</t>
  </si>
  <si>
    <t xml:space="preserve">營業利益</t>
  </si>
  <si>
    <r>
      <rPr>
        <sz val="11"/>
        <color theme="1"/>
        <rFont val="Noto Sans CJK SC"/>
        <family val="2"/>
      </rPr>
      <t xml:space="preserve">折舊攤銷（銷貨成本＋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</si>
  <si>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t xml:space="preserve">股份基礎給付</t>
  </si>
  <si>
    <t xml:space="preserve">貸款發放</t>
  </si>
  <si>
    <t xml:space="preserve">貸款出售利得</t>
  </si>
  <si>
    <t xml:space="preserve">權證營收</t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</si>
  <si>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</si>
  <si>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利息費用（淨）</t>
  </si>
  <si>
    <t xml:space="preserve">其他費用（收益）與清償損失（推得）</t>
  </si>
  <si>
    <t xml:space="preserve">所得稅（利益）</t>
  </si>
  <si>
    <t xml:space="preserve">淨利（合併）</t>
  </si>
  <si>
    <r>
      <rPr>
        <sz val="11"/>
        <color theme="1"/>
        <rFont val="Noto Sans CJK SC"/>
        <family val="2"/>
      </rPr>
      <t xml:space="preserve">其他營收中關係人部分（</t>
    </r>
    <r>
      <rPr>
        <sz val="11"/>
        <color theme="1"/>
        <rFont val="Calibri"/>
        <family val="2"/>
        <charset val="1"/>
      </rPr>
      <t xml:space="preserve">DriveTime </t>
    </r>
    <r>
      <rPr>
        <sz val="11"/>
        <color theme="1"/>
        <rFont val="Noto Sans CJK SC"/>
        <family val="2"/>
      </rPr>
      <t xml:space="preserve">等）</t>
    </r>
  </si>
  <si>
    <t xml:space="preserve">資本支出</t>
  </si>
  <si>
    <t xml:space="preserve">營業活動現金流</t>
  </si>
  <si>
    <t xml:space="preserve">現金（期末）</t>
  </si>
  <si>
    <t xml:space="preserve">存貨（期末）</t>
  </si>
  <si>
    <t xml:space="preserve">待售貸款（期末）</t>
  </si>
  <si>
    <t xml:space="preserve">證券化受益權（期末）</t>
  </si>
  <si>
    <t xml:space="preserve">債務合計（含融資租賃，期末）</t>
  </si>
  <si>
    <t xml:space="preserve">股東權益（含非控制權益，期末）</t>
  </si>
  <si>
    <t xml:space="preserve">公司口徑總流動性資源（期末）</t>
  </si>
  <si>
    <t xml:space="preserve">其他毛利（＝其他營收）</t>
  </si>
  <si>
    <t xml:space="preserve">毛利合計</t>
  </si>
  <si>
    <t xml:space="preserve">核對：營收線合計 − 合併營收</t>
  </si>
  <si>
    <r>
      <rPr>
        <sz val="11"/>
        <color theme="1"/>
        <rFont val="Noto Sans CJK SC"/>
        <family val="2"/>
      </rPr>
      <t xml:space="preserve">核對：營業利益＋其他營業費用＋折舊＋</t>
    </r>
    <r>
      <rPr>
        <sz val="11"/>
        <color theme="1"/>
        <rFont val="Calibri"/>
        <family val="2"/>
        <charset val="1"/>
      </rPr>
      <t xml:space="preserve">SBC − </t>
    </r>
    <r>
      <rPr>
        <sz val="11"/>
        <color theme="1"/>
        <rFont val="Noto Sans CJK SC"/>
        <family val="2"/>
      </rPr>
      <t xml:space="preserve">權證 − 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</si>
  <si>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其他營業費用（推得）</t>
  </si>
  <si>
    <t xml:space="preserve">貸款出售利得率</t>
  </si>
  <si>
    <t xml:space="preserve">總毛利／零售台</t>
  </si>
  <si>
    <t xml:space="preserve">零售毛利／台</t>
  </si>
  <si>
    <t xml:space="preserve">其他毛利／台</t>
  </si>
  <si>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</si>
  <si>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</si>
  <si>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出售利得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</si>
  <si>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</si>
  <si>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扣除出售利得</t>
    </r>
  </si>
  <si>
    <r>
      <rPr>
        <sz val="11"/>
        <color theme="1"/>
        <rFont val="Noto Sans CJK SC"/>
        <family val="2"/>
      </rPr>
      <t xml:space="preserve">扣除出售利得的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</si>
  <si>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b val="true"/>
        <sz val="11"/>
        <rFont val="Noto Sans CJK SC"/>
        <family val="2"/>
      </rPr>
      <t xml:space="preserve">近四季（</t>
    </r>
    <r>
      <rPr>
        <b val="true"/>
        <sz val="11"/>
        <rFont val="Cambria"/>
        <family val="0"/>
        <charset val="1"/>
      </rPr>
      <t xml:space="preserve">TTM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Q4 2025–Q3 2026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</si>
  <si>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</si>
  <si>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貸款出售利得（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</si>
  <si>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</si>
  <si>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</si>
  <si>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營業現金流（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</si>
  <si>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關係人其他營收（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</si>
  <si>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</si>
  <si>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淨債務／調整後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</si>
  <si>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</si>
  <si>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</si>
  <si>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</si>
  <si>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命題模組：零售台數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每台單位經濟。其他毛利拆成「貸款出售利得＝每台發放額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利得率」與「非貸款部分（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等）」；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年＝上半年實績＋下半年模型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</si>
  <si>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的利潤約三到四成來自把車貸賣掉的利得；賣得掉、賣得好，取決於消費信用表現與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市場。情境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的利得率由 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的損失與利差假設推導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</si>
  <si>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（樂觀：沿公司 </t>
    </r>
    <r>
      <rPr>
        <b val="true"/>
        <sz val="11"/>
        <rFont val="Cambria"/>
        <family val="0"/>
        <charset val="1"/>
      </rPr>
      <t xml:space="preserve">300 </t>
    </r>
    <r>
      <rPr>
        <b val="true"/>
        <sz val="11"/>
        <rFont val="Noto Sans CJK SC"/>
        <family val="2"/>
      </rPr>
      <t xml:space="preserve">萬台路徑、利得率維持）</t>
    </r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</si>
  <si>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</si>
  <si>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</si>
  <si>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</si>
  <si>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</si>
  <si>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</si>
  <si>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</si>
  <si>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</si>
  <si>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</si>
  <si>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</si>
  <si>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</si>
  <si>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</si>
  <si>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r>
      <rPr>
        <sz val="11"/>
        <color theme="1"/>
        <rFont val="Noto Sans CJK SC"/>
        <family val="2"/>
      </rPr>
      <t xml:space="preserve">零售台數年增（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起為輸入；觸及上限後實際年增較低）</t>
    </r>
  </si>
  <si>
    <t xml:space="preserve">零售每台營收</t>
  </si>
  <si>
    <t xml:space="preserve">批發營收／零售台</t>
  </si>
  <si>
    <t xml:space="preserve">批發毛利／零售台</t>
  </si>
  <si>
    <t xml:space="preserve">每零售台貸款發放額</t>
  </si>
  <si>
    <t xml:space="preserve">貸款出售利得（其他毛利之一）</t>
  </si>
  <si>
    <t xml:space="preserve">非貸款其他毛利／台</t>
  </si>
  <si>
    <r>
      <rPr>
        <sz val="11"/>
        <color theme="1"/>
        <rFont val="Noto Sans CJK SC"/>
        <family val="2"/>
      </rPr>
      <t xml:space="preserve">非貸款其他毛利（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等）</t>
    </r>
  </si>
  <si>
    <t xml:space="preserve">總毛利／台</t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</si>
  <si>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</t>
    </r>
  </si>
  <si>
    <t xml:space="preserve">年產能（期末，足以支應次年台數）</t>
  </si>
  <si>
    <r>
      <rPr>
        <sz val="11"/>
        <color theme="1"/>
        <rFont val="Noto Sans CJK SC"/>
        <family val="2"/>
      </rPr>
      <t xml:space="preserve">成長性資本支出（新增產能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每台成本）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</si>
  <si>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（基準：成長放緩、利得率小降）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</si>
  <si>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（信用壓力：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年次級車貸循環＋二手車價下跌）</t>
    </r>
  </si>
  <si>
    <r>
      <rPr>
        <b val="true"/>
        <sz val="11"/>
        <rFont val="Noto Sans CJK SC"/>
        <family val="2"/>
      </rPr>
      <t xml:space="preserve">三情境假設對照：輸入（藍字在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頁）與推導量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</si>
  <si>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</si>
  <si>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</si>
  <si>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（信用壓力）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</si>
  <si>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</si>
  <si>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</si>
  <si>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</si>
  <si>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</si>
  <si>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年零售毛利／台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</si>
  <si>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年起零售毛利／台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</si>
  <si>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年批發毛利／零售台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</si>
  <si>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</si>
  <si>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</si>
  <si>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</si>
  <si>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</si>
  <si>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年存貨天數</t>
    </r>
  </si>
  <si>
    <t xml:space="preserve">推導量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</si>
  <si>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</si>
  <si>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</t>
    </r>
  </si>
  <si>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</si>
  <si>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年總毛利／台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</si>
  <si>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</si>
  <si>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</si>
  <si>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</si>
  <si>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</si>
  <si>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</si>
  <si>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損益表。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只有一個應報導部門（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CODM </t>
    </r>
    <r>
      <rPr>
        <sz val="11"/>
        <color theme="1"/>
        <rFont val="Noto Sans CJK SC"/>
        <family val="2"/>
      </rPr>
      <t xml:space="preserve">看合併淨利）；營收列採公司固定揭露的三條營收線，「其他銷售與營收」下拆命題子列（貸款出售利得／非貸款）</t>
    </r>
  </si>
  <si>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為實績（含第四季釋放評價備抵的稅務利益 </t>
    </r>
    <r>
      <rPr>
        <sz val="11"/>
        <color theme="1"/>
        <rFont val="Calibri"/>
        <family val="2"/>
        <charset val="1"/>
      </rPr>
      <t xml:space="preserve">2,785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重估等其他費用 </t>
    </r>
    <r>
      <rPr>
        <sz val="11"/>
        <color theme="1"/>
        <rFont val="Calibri"/>
        <family val="2"/>
        <charset val="1"/>
      </rPr>
      <t xml:space="preserve">2,250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＝上半年實績＋下半年模型</t>
    </r>
  </si>
  <si>
    <r>
      <rPr>
        <b val="true"/>
        <sz val="11"/>
        <rFont val="Noto Sans CJK SC"/>
        <family val="2"/>
      </rPr>
      <t xml:space="preserve">核對列（三情境合計絕對差，應為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</si>
  <si>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核對：其他營收子列合計 − 其他營收</t>
  </si>
  <si>
    <t xml:space="preserve">　其中：貸款出售利得（命題子列）</t>
  </si>
  <si>
    <r>
      <rPr>
        <sz val="11"/>
        <color theme="1"/>
        <rFont val="Noto Sans CJK SC"/>
        <family val="2"/>
      </rPr>
      <t xml:space="preserve">　其中：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等非貸款（命題子列）</t>
    </r>
  </si>
  <si>
    <t xml:space="preserve">營收年增</t>
  </si>
  <si>
    <t xml:space="preserve">其他毛利</t>
  </si>
  <si>
    <t xml:space="preserve">營業利益率</t>
  </si>
  <si>
    <r>
      <rPr>
        <sz val="11"/>
        <color theme="1"/>
        <rFont val="Noto Sans CJK SC"/>
        <family val="2"/>
      </rPr>
      <t xml:space="preserve">利息費用（淨；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頁債務表）</t>
    </r>
  </si>
  <si>
    <t xml:space="preserve">其他費用（收益）</t>
  </si>
  <si>
    <t xml:space="preserve">稅前淨利</t>
  </si>
  <si>
    <t xml:space="preserve">所得稅</t>
  </si>
  <si>
    <t xml:space="preserve">淨利（合併，含非控制權益）</t>
  </si>
  <si>
    <t xml:space="preserve">淨利率</t>
  </si>
  <si>
    <t xml:space="preserve">每股盈餘（完全轉換股數）</t>
  </si>
  <si>
    <t xml:space="preserve">折舊攤銷</t>
  </si>
  <si>
    <t xml:space="preserve">權證營收（扣除）</t>
  </si>
  <si>
    <r>
      <rPr>
        <sz val="11"/>
        <color theme="1"/>
        <rFont val="Noto Sans CJK SC"/>
        <family val="2"/>
      </rPr>
      <t xml:space="preserve">貸款出售利得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</si>
  <si>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收支模組。收支關卡＝自由現金流 −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付款 − 代 </t>
    </r>
    <r>
      <rPr>
        <sz val="11"/>
        <color theme="1"/>
        <rFont val="Calibri"/>
        <family val="2"/>
        <charset val="1"/>
      </rPr>
      <t xml:space="preserve">NCI </t>
    </r>
    <r>
      <rPr>
        <sz val="11"/>
        <color theme="1"/>
        <rFont val="Noto Sans CJK SC"/>
        <family val="2"/>
      </rPr>
      <t xml:space="preserve">繳稅 − 排定到期本金 − 贖回溢價；期末現金低於最低營運現金時以新增外部融資補足（利息自次年計）。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＝全年（上半年實績＋下半年模型）</t>
    </r>
  </si>
  <si>
    <r>
      <rPr>
        <sz val="11"/>
        <color theme="1"/>
        <rFont val="Noto Sans CJK SC"/>
        <family val="2"/>
      </rPr>
      <t xml:space="preserve">利息以期初餘額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各工具利率計（避免循環參照）；「其他利息與費用」以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實績校準，並隨貸款發放量縮放</t>
    </r>
  </si>
  <si>
    <t xml:space="preserve">收支摘要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</si>
  <si>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</si>
  <si>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</si>
  <si>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</si>
  <si>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收支關卡：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</si>
  <si>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新增外部融資需求：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</si>
  <si>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期末現金最低值</t>
    </r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</si>
  <si>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超額現金（高於現金上限，可回饋股東或提前還債）合計</t>
    </r>
  </si>
  <si>
    <r>
      <rPr>
        <sz val="11"/>
        <color theme="1"/>
        <rFont val="Noto Sans CJK SC"/>
        <family val="2"/>
      </rPr>
      <t xml:space="preserve">其他利息與費用校準（年化，以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結構；扣除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個月的高利率）</t>
    </r>
  </si>
  <si>
    <t xml:space="preserve">應付與應計（期末）</t>
  </si>
  <si>
    <t xml:space="preserve">證券化受益權（期末，隨發放量縮放）</t>
  </si>
  <si>
    <t xml:space="preserve">淨利</t>
  </si>
  <si>
    <r>
      <rPr>
        <sz val="11"/>
        <color theme="1"/>
        <rFont val="Noto Sans CJK SC"/>
        <family val="2"/>
      </rPr>
      <t xml:space="preserve">＋折舊攤銷＋</t>
    </r>
    <r>
      <rPr>
        <sz val="11"/>
        <color theme="1"/>
        <rFont val="Calibri"/>
        <family val="2"/>
        <charset val="1"/>
      </rPr>
      <t xml:space="preserve">SBC</t>
    </r>
  </si>
  <si>
    <t xml:space="preserve">＋帳面稅與現金稅差額（遞延所得稅資產抵用）</t>
  </si>
  <si>
    <t xml:space="preserve">−營運資金增加（存貨＋待售貸款 − 應付）</t>
  </si>
  <si>
    <r>
      <rPr>
        <sz val="11"/>
        <color theme="1"/>
        <rFont val="Noto Sans CJK SC"/>
        <family val="2"/>
      </rPr>
      <t xml:space="preserve">−風險自留淨現金（受益權增加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融資成數））</t>
    </r>
  </si>
  <si>
    <t xml:space="preserve">營業現金流（模型口徑）</t>
  </si>
  <si>
    <t xml:space="preserve">資本支出（維護＋成長）</t>
  </si>
  <si>
    <t xml:space="preserve">自由現金流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</si>
  <si>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付款</t>
    </r>
  </si>
  <si>
    <t xml:space="preserve">排定到期本金（定期貸款攤還、無擔保票據）</t>
  </si>
  <si>
    <t xml:space="preserve">贖回溢價與費用</t>
  </si>
  <si>
    <r>
      <rPr>
        <sz val="11"/>
        <color theme="1"/>
        <rFont val="Noto Sans CJK SC"/>
        <family val="2"/>
      </rPr>
      <t xml:space="preserve">收支關卡：自由現金流扣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與到期本金</t>
    </r>
  </si>
  <si>
    <t xml:space="preserve">期末現金（融資與分配前）</t>
  </si>
  <si>
    <t xml:space="preserve">新增外部融資（補足至最低營運現金）</t>
  </si>
  <si>
    <t xml:space="preserve">超額現金（高於現金上限；視為回饋股東或提前還債，不再計息）</t>
  </si>
  <si>
    <t xml:space="preserve">期末現金</t>
  </si>
  <si>
    <t xml:space="preserve">債務（期末）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</si>
  <si>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年起；取代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年擔保票據）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</si>
  <si>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年擔保票據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</si>
  <si>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年擔保票據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</si>
  <si>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年票據再融資貸款</t>
    </r>
  </si>
  <si>
    <t xml:space="preserve">無擔保票據</t>
  </si>
  <si>
    <t xml:space="preserve">受益權融資</t>
  </si>
  <si>
    <t xml:space="preserve">車隊融資＋融資租賃</t>
  </si>
  <si>
    <r>
      <rPr>
        <sz val="11"/>
        <color theme="1"/>
        <rFont val="Noto Sans CJK SC"/>
        <family val="2"/>
      </rPr>
      <t xml:space="preserve">存貨融資（</t>
    </r>
    <r>
      <rPr>
        <sz val="11"/>
        <color theme="1"/>
        <rFont val="Calibri"/>
        <family val="2"/>
        <charset val="1"/>
      </rPr>
      <t xml:space="preserve">floor plan</t>
    </r>
    <r>
      <rPr>
        <sz val="11"/>
        <color theme="1"/>
        <rFont val="Noto Sans CJK SC"/>
        <family val="2"/>
      </rPr>
      <t xml:space="preserve">）</t>
    </r>
  </si>
  <si>
    <t xml:space="preserve">新增外部融資（累計）</t>
  </si>
  <si>
    <t xml:space="preserve">債務合計</t>
  </si>
  <si>
    <r>
      <rPr>
        <sz val="11"/>
        <color theme="1"/>
        <rFont val="Calibri"/>
        <family val="2"/>
        <charset val="1"/>
      </rPr>
      <t xml:space="preserve">Credit — </t>
    </r>
    <r>
      <rPr>
        <sz val="11"/>
        <color theme="1"/>
        <rFont val="Noto Sans CJK SC"/>
        <family val="2"/>
      </rPr>
      <t xml:space="preserve">信用風險六個角度：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公司債信指標（三情境逐年）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消費信用（管理組合）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出售利得對損失與利差的敏感度 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貸款去化與資金斷點 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盈餘品質與關係人 </t>
    </r>
    <r>
      <rPr>
        <sz val="11"/>
        <color theme="1"/>
        <rFont val="Calibri"/>
        <family val="2"/>
        <charset val="1"/>
      </rPr>
      <t xml:space="preserve">(6) </t>
    </r>
    <r>
      <rPr>
        <sz val="11"/>
        <color theme="1"/>
        <rFont val="Noto Sans CJK SC"/>
        <family val="2"/>
      </rPr>
      <t xml:space="preserve">清償順位與資產覆蓋；另附壓力格</t>
    </r>
  </si>
  <si>
    <r>
      <rPr>
        <sz val="11"/>
        <color theme="1"/>
        <rFont val="Noto Sans CJK SC"/>
        <family val="2"/>
      </rPr>
      <t xml:space="preserve">評等門檻為 </t>
    </r>
    <r>
      <rPr>
        <sz val="11"/>
        <color theme="1"/>
        <rFont val="Calibri"/>
        <family val="2"/>
        <charset val="1"/>
      </rPr>
      <t xml:space="preserve">Moody's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）公開說法；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年評等動作未找到。所有比率以調整後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（公司口徑）計，另列扣除貸款出售利得的版本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</si>
  <si>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（樂觀：沿公司 </t>
    </r>
    <r>
      <rPr>
        <b val="true"/>
        <sz val="11"/>
        <rFont val="Cambria"/>
        <family val="0"/>
        <charset val="1"/>
      </rPr>
      <t xml:space="preserve">300 </t>
    </r>
    <r>
      <rPr>
        <b val="true"/>
        <sz val="11"/>
        <rFont val="Noto Sans CJK SC"/>
        <family val="2"/>
      </rPr>
      <t xml:space="preserve">萬台路徑、利得率維持）</t>
    </r>
  </si>
  <si>
    <t xml:space="preserve">現金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</si>
  <si>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餘額（期末）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</si>
  <si>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扣除貸款出售利得</t>
    </r>
  </si>
  <si>
    <r>
      <rPr>
        <sz val="11"/>
        <color theme="1"/>
        <rFont val="Noto Sans CJK SC"/>
        <family val="2"/>
      </rPr>
      <t xml:space="preserve">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</si>
  <si>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淨債務／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</si>
  <si>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</si>
  <si>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（債務＋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</si>
  <si>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資本支出）／利息（利息為淨收入時標示）</t>
    </r>
  </si>
  <si>
    <t xml:space="preserve">自由現金流／債務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</si>
  <si>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升評門檻（兩項皆符合）</t>
    </r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</si>
  <si>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正向門檻（兩項皆符合）</t>
    </r>
  </si>
  <si>
    <r>
      <rPr>
        <sz val="11"/>
        <color theme="1"/>
        <rFont val="Noto Sans CJK SC"/>
        <family val="2"/>
      </rPr>
      <t xml:space="preserve">已承諾貸款去化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貸款發放（</t>
    </r>
    <r>
      <rPr>
        <sz val="11"/>
        <color theme="1"/>
        <rFont val="Calibri"/>
        <family val="2"/>
        <charset val="1"/>
      </rPr>
      <t xml:space="preserve">Ally</t>
    </r>
    <r>
      <rPr>
        <sz val="11"/>
        <color theme="1"/>
        <rFont val="Noto Sans CJK SC"/>
        <family val="2"/>
      </rPr>
      <t xml:space="preserve">＋整批出售，每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</si>
  <si>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Noto Sans CJK SC"/>
        <family val="2"/>
      </rPr>
      <t xml:space="preserve">已承諾＋證券化年化量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貸款發放</t>
    </r>
  </si>
  <si>
    <r>
      <rPr>
        <sz val="11"/>
        <color theme="1"/>
        <rFont val="Noto Sans CJK SC"/>
        <family val="2"/>
      </rPr>
      <t xml:space="preserve">股權緩衝：現價市值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債務（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年；市場給債權人的保護）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</si>
  <si>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（基準：成長放緩、利得率小降）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</si>
  <si>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（信用壓力：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年次級車貸循環＋二手車價下跌）</t>
    </r>
  </si>
  <si>
    <r>
      <rPr>
        <b val="true"/>
        <sz val="11"/>
        <rFont val="Cambria"/>
        <family val="0"/>
        <charset val="1"/>
      </rPr>
      <t xml:space="preserve">(2) </t>
    </r>
    <r>
      <rPr>
        <b val="true"/>
        <sz val="11"/>
        <rFont val="Noto Sans CJK SC"/>
        <family val="2"/>
      </rPr>
      <t xml:space="preserve">消費信用：</t>
    </r>
    <r>
      <rPr>
        <b val="true"/>
        <sz val="11"/>
        <rFont val="Cambria"/>
        <family val="0"/>
        <charset val="1"/>
      </rPr>
      <t xml:space="preserve">Carvana </t>
    </r>
    <r>
      <rPr>
        <b val="true"/>
        <sz val="11"/>
        <rFont val="Noto Sans CJK SC"/>
        <family val="2"/>
      </rPr>
      <t xml:space="preserve">發放、</t>
    </r>
    <r>
      <rPr>
        <b val="true"/>
        <sz val="11"/>
        <rFont val="Cambria"/>
        <family val="0"/>
        <charset val="1"/>
      </rPr>
      <t xml:space="preserve">Bridgecrest </t>
    </r>
    <r>
      <rPr>
        <b val="true"/>
        <sz val="11"/>
        <rFont val="Noto Sans CJK SC"/>
        <family val="2"/>
      </rPr>
      <t xml:space="preserve">服務的管理組合（含已出售）｜來源：</t>
    </r>
    <r>
      <rPr>
        <b val="true"/>
        <sz val="11"/>
        <rFont val="Cambria"/>
        <family val="0"/>
        <charset val="1"/>
      </rPr>
      <t xml:space="preserve">Carvana Auto Receivables Trust 2026-P3 </t>
    </r>
    <r>
      <rPr>
        <b val="true"/>
        <sz val="11"/>
        <rFont val="Noto Sans CJK SC"/>
        <family val="2"/>
      </rPr>
      <t xml:space="preserve">公開說明書 </t>
    </r>
    <r>
      <rPr>
        <b val="true"/>
        <sz val="11"/>
        <rFont val="Cambria"/>
        <family val="0"/>
        <charset val="1"/>
      </rPr>
      <t xml:space="preserve">424B5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2026-08-20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Historical Performance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Bridgecrest </t>
    </r>
    <r>
      <rPr>
        <b val="true"/>
        <sz val="11"/>
        <rFont val="Noto Sans CJK SC"/>
        <family val="2"/>
      </rPr>
      <t xml:space="preserve">服務的管理組合）</t>
    </r>
  </si>
  <si>
    <t xml:space="preserve">FY2021</t>
  </si>
  <si>
    <t xml:space="preserve">FY2022</t>
  </si>
  <si>
    <t xml:space="preserve">FY2023</t>
  </si>
  <si>
    <t xml:space="preserve">2025H1</t>
  </si>
  <si>
    <t xml:space="preserve">2026H1</t>
  </si>
  <si>
    <t xml:space="preserve">期末本金餘額（全部借款人）</t>
  </si>
  <si>
    <t xml:space="preserve">平均月底餘額（全部）</t>
  </si>
  <si>
    <t xml:space="preserve">淨沖銷（全部）</t>
  </si>
  <si>
    <r>
      <rPr>
        <sz val="11"/>
        <color theme="1"/>
        <rFont val="Noto Sans CJK SC"/>
        <family val="2"/>
      </rPr>
      <t xml:space="preserve">平均月底餘額（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Deal Score ≥ 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</si>
  <si>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淨沖銷（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</si>
  <si>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t xml:space="preserve">年化淨沖銷率（全部）</t>
  </si>
  <si>
    <r>
      <rPr>
        <sz val="11"/>
        <color theme="1"/>
        <rFont val="Noto Sans CJK SC"/>
        <family val="2"/>
      </rPr>
      <t xml:space="preserve">年化淨沖銷率（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</si>
  <si>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年化淨沖銷率（非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，推得＝全部 −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</si>
  <si>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個月淨沖銷率（年化淨沖銷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一年前餘額；排除快速成長的分母稀釋）</t>
    </r>
  </si>
  <si>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天以上逾期率（全部，期末）</t>
    </r>
  </si>
  <si>
    <t xml:space="preserve">管理組合餘額年增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</si>
  <si>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起承銷不再使用 </t>
    </r>
    <r>
      <rPr>
        <sz val="11"/>
        <color theme="1"/>
        <rFont val="Calibri"/>
        <family val="2"/>
        <charset val="1"/>
      </rPr>
      <t xml:space="preserve">FICO</t>
    </r>
    <r>
      <rPr>
        <sz val="11"/>
        <color theme="1"/>
        <rFont val="Noto Sans CJK SC"/>
        <family val="2"/>
      </rPr>
      <t xml:space="preserve">（改用 </t>
    </r>
    <r>
      <rPr>
        <sz val="11"/>
        <color theme="1"/>
        <rFont val="Calibri"/>
        <family val="2"/>
        <charset val="1"/>
      </rPr>
      <t xml:space="preserve">VantageScore </t>
    </r>
    <r>
      <rPr>
        <sz val="11"/>
        <color theme="1"/>
        <rFont val="Noto Sans CJK SC"/>
        <family val="2"/>
      </rPr>
      <t xml:space="preserve">與自有 </t>
    </r>
    <r>
      <rPr>
        <sz val="11"/>
        <color theme="1"/>
        <rFont val="Calibri"/>
        <family val="2"/>
        <charset val="1"/>
      </rPr>
      <t xml:space="preserve">CarvanaScore </t>
    </r>
    <r>
      <rPr>
        <sz val="11"/>
        <color theme="1"/>
        <rFont val="Noto Sans CJK SC"/>
        <family val="2"/>
      </rPr>
      <t xml:space="preserve">第八代）；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定義為自有 </t>
    </r>
    <r>
      <rPr>
        <sz val="11"/>
        <color theme="1"/>
        <rFont val="Calibri"/>
        <family val="2"/>
        <charset val="1"/>
      </rPr>
      <t xml:space="preserve">Deal Score ≥ 50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FICO </t>
    </r>
    <r>
      <rPr>
        <sz val="11"/>
        <color theme="1"/>
        <rFont val="Noto Sans CJK SC"/>
        <family val="2"/>
      </rPr>
      <t xml:space="preserve">口徑（同一公開說明書）</t>
    </r>
  </si>
  <si>
    <r>
      <rPr>
        <b val="true"/>
        <sz val="11"/>
        <rFont val="Cambria"/>
        <family val="0"/>
        <charset val="1"/>
      </rPr>
      <t xml:space="preserve">(3) </t>
    </r>
    <r>
      <rPr>
        <b val="true"/>
        <sz val="11"/>
        <rFont val="Noto Sans CJK SC"/>
        <family val="2"/>
      </rPr>
      <t xml:space="preserve">出售利得率的信用與利差傳導（情境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推導）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</si>
  <si>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年利得率</t>
    </r>
  </si>
  <si>
    <r>
      <rPr>
        <sz val="11"/>
        <color theme="1"/>
        <rFont val="Noto Sans CJK SC"/>
        <family val="2"/>
      </rPr>
      <t xml:space="preserve">− 損失傳導：</t>
    </r>
    <r>
      <rPr>
        <sz val="11"/>
        <color theme="1"/>
        <rFont val="Calibri"/>
        <family val="2"/>
        <charset val="1"/>
      </rPr>
      <t xml:space="preserve">loss_pt × </t>
    </r>
    <r>
      <rPr>
        <sz val="11"/>
        <color theme="1"/>
        <rFont val="Noto Sans CJK SC"/>
        <family val="2"/>
      </rPr>
      <t xml:space="preserve">終身損失增幅</t>
    </r>
  </si>
  <si>
    <r>
      <rPr>
        <sz val="11"/>
        <color theme="1"/>
        <rFont val="Noto Sans CJK SC"/>
        <family val="2"/>
      </rPr>
      <t xml:space="preserve">− 利差傳導：存續期間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利差擴大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</si>
  <si>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2027 </t>
    </r>
    <r>
      <rPr>
        <sz val="11"/>
        <color theme="1"/>
        <rFont val="Noto Sans CJK SC"/>
        <family val="2"/>
      </rPr>
      <t xml:space="preserve">年利得率</t>
    </r>
  </si>
  <si>
    <r>
      <rPr>
        <sz val="11"/>
        <color theme="1"/>
        <rFont val="Noto Sans CJK SC"/>
        <family val="2"/>
      </rPr>
      <t xml:space="preserve">利得率每降 </t>
    </r>
    <r>
      <rPr>
        <sz val="11"/>
        <color theme="1"/>
        <rFont val="Calibri"/>
        <family val="2"/>
        <charset val="1"/>
      </rPr>
      <t xml:space="preserve">1 pt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減少（情境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發放量）</t>
    </r>
  </si>
  <si>
    <r>
      <rPr>
        <sz val="11"/>
        <color theme="1"/>
        <rFont val="Noto Sans CJK SC"/>
        <family val="2"/>
      </rPr>
      <t xml:space="preserve">　占情境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</si>
  <si>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b val="true"/>
        <sz val="11"/>
        <rFont val="Cambria"/>
        <family val="0"/>
        <charset val="1"/>
      </rPr>
      <t xml:space="preserve">(4) </t>
    </r>
    <r>
      <rPr>
        <b val="true"/>
        <sz val="11"/>
        <rFont val="Noto Sans CJK SC"/>
        <family val="2"/>
      </rPr>
      <t xml:space="preserve">貸款去化與資金斷點（</t>
    </r>
    <r>
      <rPr>
        <b val="true"/>
        <sz val="11"/>
        <rFont val="Cambria"/>
        <family val="0"/>
        <charset val="1"/>
      </rPr>
      <t xml:space="preserve">2026-09-30 </t>
    </r>
    <r>
      <rPr>
        <b val="true"/>
        <sz val="11"/>
        <rFont val="Noto Sans CJK SC"/>
        <family val="2"/>
      </rPr>
      <t xml:space="preserve">起算；若買方與 </t>
    </r>
    <r>
      <rPr>
        <b val="true"/>
        <sz val="11"/>
        <rFont val="Cambria"/>
        <family val="0"/>
        <charset val="1"/>
      </rPr>
      <t xml:space="preserve">ABS </t>
    </r>
    <r>
      <rPr>
        <b val="true"/>
        <sz val="11"/>
        <rFont val="Noto Sans CJK SC"/>
        <family val="2"/>
      </rPr>
      <t xml:space="preserve">市場停止承接，放款先停在倉儲額度、再用現金）</t>
    </r>
  </si>
  <si>
    <r>
      <rPr>
        <sz val="11"/>
        <color theme="1"/>
        <rFont val="Noto Sans CJK SC"/>
        <family val="2"/>
      </rPr>
      <t xml:space="preserve">每月貸款發放（</t>
    </r>
    <r>
      <rPr>
        <sz val="11"/>
        <color theme="1"/>
        <rFont val="Calibri"/>
        <family val="2"/>
        <charset val="1"/>
      </rPr>
      <t xml:space="preserve">Q3 2026 ÷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</si>
  <si>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每月營運現金（扣除出售利得；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利得 − 利息 − 資本支出，</t>
    </r>
    <r>
      <rPr>
        <sz val="11"/>
        <color theme="1"/>
        <rFont val="Calibri"/>
        <family val="2"/>
        <charset val="1"/>
      </rPr>
      <t xml:space="preserve">÷ 3</t>
    </r>
    <r>
      <rPr>
        <sz val="11"/>
        <color theme="1"/>
        <rFont val="Noto Sans CJK SC"/>
        <family val="2"/>
      </rPr>
      <t xml:space="preserve">）</t>
    </r>
  </si>
  <si>
    <t xml:space="preserve">可動用現金（現金 − 最低營運現金）</t>
  </si>
  <si>
    <r>
      <rPr>
        <sz val="11"/>
        <color theme="1"/>
        <rFont val="Noto Sans CJK SC"/>
        <family val="2"/>
      </rPr>
      <t xml:space="preserve">倉儲額度可容納的貸款（未用額度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墊款成數）</t>
    </r>
  </si>
  <si>
    <t xml:space="preserve">情境</t>
  </si>
  <si>
    <t xml:space="preserve">全部停止</t>
  </si>
  <si>
    <r>
      <rPr>
        <b val="true"/>
        <sz val="11"/>
        <rFont val="Cambria"/>
        <family val="0"/>
        <charset val="1"/>
      </rPr>
      <t xml:space="preserve">Ally </t>
    </r>
    <r>
      <rPr>
        <b val="true"/>
        <sz val="11"/>
        <rFont val="Noto Sans CJK SC"/>
        <family val="2"/>
      </rPr>
      <t xml:space="preserve">照常承購</t>
    </r>
  </si>
  <si>
    <t xml:space="preserve">每月須自行持有的新貸款</t>
  </si>
  <si>
    <t xml:space="preserve">倉儲額度用盡月數</t>
  </si>
  <si>
    <t xml:space="preserve">月</t>
  </si>
  <si>
    <t xml:space="preserve">倉儲期間每月現金消耗（自備款 − 營運現金）</t>
  </si>
  <si>
    <t xml:space="preserve">倉儲用盡後每月現金消耗</t>
  </si>
  <si>
    <t xml:space="preserve">資金斷點：可撐月數（不減少放款）</t>
  </si>
  <si>
    <r>
      <rPr>
        <sz val="11"/>
        <color theme="1"/>
        <rFont val="Noto Sans CJK SC"/>
        <family val="2"/>
      </rPr>
      <t xml:space="preserve">讀法：撐不過即須減少自營放款（改由第三方放款或現金買車），零售台數與其他毛利同步下降；倉儲額度到期日分布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），續約本身亦受信用循環影響</t>
    </r>
  </si>
  <si>
    <r>
      <rPr>
        <b val="true"/>
        <sz val="11"/>
        <rFont val="Cambria"/>
        <family val="0"/>
        <charset val="1"/>
      </rPr>
      <t xml:space="preserve">(5) </t>
    </r>
    <r>
      <rPr>
        <b val="true"/>
        <sz val="11"/>
        <rFont val="Noto Sans CJK SC"/>
        <family val="2"/>
      </rPr>
      <t xml:space="preserve">盈餘品質與關係人（季度；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頁）</t>
    </r>
  </si>
  <si>
    <t xml:space="preserve">TTM</t>
  </si>
  <si>
    <t xml:space="preserve">出售利得率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</si>
  <si>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Gotham City Research</t>
    </r>
    <r>
      <rPr>
        <sz val="11"/>
        <color theme="1"/>
        <rFont val="Noto Sans CJK SC"/>
        <family val="2"/>
      </rPr>
      <t xml:space="preserve">（放空方）稱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年前三季此比例約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</si>
  <si>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</si>
  <si>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關係人：</t>
    </r>
    <r>
      <rPr>
        <sz val="11"/>
        <color theme="1"/>
        <rFont val="Calibri"/>
        <family val="2"/>
        <charset val="1"/>
      </rPr>
      <t xml:space="preserve">VSC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DriveTime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Garcia </t>
    </r>
    <r>
      <rPr>
        <sz val="11"/>
        <color theme="1"/>
        <rFont val="Noto Sans CJK SC"/>
        <family val="2"/>
      </rPr>
      <t xml:space="preserve">家族控制）承保與管理；</t>
    </r>
    <r>
      <rPr>
        <sz val="11"/>
        <color theme="1"/>
        <rFont val="Calibri"/>
        <family val="2"/>
        <charset val="1"/>
      </rPr>
      <t xml:space="preserve">Bridgecrest</t>
    </r>
    <r>
      <rPr>
        <sz val="11"/>
        <color theme="1"/>
        <rFont val="Noto Sans CJK SC"/>
        <family val="2"/>
      </rPr>
      <t xml:space="preserve">（同一家族）服務 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發放的貸款；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2,130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1,645 </t>
    </r>
    <r>
      <rPr>
        <sz val="11"/>
        <color theme="1"/>
        <rFont val="Noto Sans CJK SC"/>
        <family val="2"/>
      </rPr>
      <t xml:space="preserve">應付關係人（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2025-01 Hindenburg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 Gotham </t>
    </r>
    <r>
      <rPr>
        <sz val="11"/>
        <color theme="1"/>
        <rFont val="Noto Sans CJK SC"/>
        <family val="2"/>
      </rPr>
      <t xml:space="preserve">指控未揭露關係人交易，公司否認；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如期申報、會計師 </t>
    </r>
    <r>
      <rPr>
        <sz val="11"/>
        <color theme="1"/>
        <rFont val="Calibri"/>
        <family val="2"/>
        <charset val="1"/>
      </rPr>
      <t xml:space="preserve">Grant Thornton </t>
    </r>
    <r>
      <rPr>
        <sz val="11"/>
        <color theme="1"/>
        <rFont val="Noto Sans CJK SC"/>
        <family val="2"/>
      </rPr>
      <t xml:space="preserve">未更換</t>
    </r>
  </si>
  <si>
    <r>
      <rPr>
        <b val="true"/>
        <sz val="11"/>
        <rFont val="Cambria"/>
        <family val="0"/>
        <charset val="1"/>
      </rPr>
      <t xml:space="preserve">(6) </t>
    </r>
    <r>
      <rPr>
        <b val="true"/>
        <sz val="11"/>
        <rFont val="Noto Sans CJK SC"/>
        <family val="2"/>
      </rPr>
      <t xml:space="preserve">清償順位與資產覆蓋（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；折扣率為判斷）</t>
    </r>
  </si>
  <si>
    <t xml:space="preserve">資產</t>
  </si>
  <si>
    <t xml:space="preserve">帳面</t>
  </si>
  <si>
    <t xml:space="preserve">回收折扣後比例</t>
  </si>
  <si>
    <t xml:space="preserve">可回收</t>
  </si>
  <si>
    <t xml:space="preserve">待售貸款</t>
  </si>
  <si>
    <t xml:space="preserve">存貨</t>
  </si>
  <si>
    <t xml:space="preserve">證券化受益權</t>
  </si>
  <si>
    <t xml:space="preserve">應收帳款</t>
  </si>
  <si>
    <t xml:space="preserve">不動產與設備</t>
  </si>
  <si>
    <r>
      <rPr>
        <sz val="11"/>
        <color theme="1"/>
        <rFont val="Noto Sans CJK SC"/>
        <family val="2"/>
      </rPr>
      <t xml:space="preserve">可回收資產合計（不含遞延所得稅資產 </t>
    </r>
    <r>
      <rPr>
        <sz val="11"/>
        <color theme="1"/>
        <rFont val="Calibri"/>
        <family val="2"/>
        <charset val="1"/>
      </rPr>
      <t xml:space="preserve">2,905</t>
    </r>
    <r>
      <rPr>
        <sz val="11"/>
        <color theme="1"/>
        <rFont val="Noto Sans CJK SC"/>
        <family val="2"/>
      </rPr>
      <t xml:space="preserve">）</t>
    </r>
  </si>
  <si>
    <t xml:space="preserve">求償（依順位）</t>
  </si>
  <si>
    <t xml:space="preserve">金額</t>
  </si>
  <si>
    <t xml:space="preserve">累計</t>
  </si>
  <si>
    <r>
      <rPr>
        <b val="true"/>
        <sz val="11"/>
        <rFont val="Noto Sans CJK SC"/>
        <family val="2"/>
      </rPr>
      <t xml:space="preserve">累計覆蓋（可回收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累計求償）</t>
    </r>
  </si>
  <si>
    <r>
      <rPr>
        <sz val="11"/>
        <color theme="1"/>
        <rFont val="Noto Sans CJK SC"/>
        <family val="2"/>
      </rPr>
      <t xml:space="preserve">資產擔保融資（</t>
    </r>
    <r>
      <rPr>
        <sz val="11"/>
        <color theme="1"/>
        <rFont val="Calibri"/>
        <family val="2"/>
        <charset val="1"/>
      </rPr>
      <t xml:space="preserve">floor plan</t>
    </r>
    <r>
      <rPr>
        <sz val="11"/>
        <color theme="1"/>
        <rFont val="Noto Sans CJK SC"/>
        <family val="2"/>
      </rPr>
      <t xml:space="preserve">、受益權融資、不動產、車隊、融資租賃）</t>
    </r>
  </si>
  <si>
    <r>
      <rPr>
        <sz val="11"/>
        <color theme="1"/>
        <rFont val="Noto Sans CJK SC"/>
        <family val="2"/>
      </rPr>
      <t xml:space="preserve">擔保債（定期貸款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年票據）</t>
    </r>
  </si>
  <si>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（應收稅款協議；破產時一般無擔保債權）</t>
    </r>
  </si>
  <si>
    <r>
      <rPr>
        <b val="true"/>
        <sz val="11"/>
        <rFont val="Cambria"/>
        <family val="0"/>
        <charset val="1"/>
      </rPr>
      <t xml:space="preserve">(7) </t>
    </r>
    <r>
      <rPr>
        <b val="true"/>
        <sz val="11"/>
        <rFont val="Noto Sans CJK SC"/>
        <family val="2"/>
      </rPr>
      <t xml:space="preserve">壓力格：情境 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年債務／調整後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（列＝利得率變化、欄＝台數變化；變動 </t>
    </r>
    <r>
      <rPr>
        <b val="true"/>
        <sz val="11"/>
        <rFont val="Cambria"/>
        <family val="0"/>
        <charset val="1"/>
      </rPr>
      <t xml:space="preserve">SG&amp;A </t>
    </r>
    <r>
      <rPr>
        <b val="true"/>
        <sz val="11"/>
        <rFont val="Noto Sans CJK SC"/>
        <family val="2"/>
      </rPr>
      <t xml:space="preserve">隨台數、固定不變；債務不變）</t>
    </r>
  </si>
  <si>
    <t xml:space="preserve">利得率變化 ＼ 台數變化</t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</si>
  <si>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FY2027–FY2035 </t>
    </r>
    <r>
      <rPr>
        <sz val="11"/>
        <color theme="1"/>
        <rFont val="Noto Sans CJK SC"/>
        <family val="2"/>
      </rPr>
      <t xml:space="preserve">無槓桿自由現金流＋永續價值（以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年底為基準點折現）；倍數法：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成長溢價。股權＝</t>
    </r>
    <r>
      <rPr>
        <sz val="11"/>
        <color theme="1"/>
        <rFont val="Calibri"/>
        <family val="2"/>
        <charset val="1"/>
      </rPr>
      <t xml:space="preserve">EV − </t>
    </r>
    <r>
      <rPr>
        <sz val="11"/>
        <color theme="1"/>
        <rFont val="Noto Sans CJK SC"/>
        <family val="2"/>
      </rPr>
      <t xml:space="preserve">淨債務（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</t>
    </r>
  </si>
  <si>
    <t xml:space="preserve">值</t>
  </si>
  <si>
    <t xml:space="preserve">說明</t>
  </si>
  <si>
    <r>
      <rPr>
        <sz val="11"/>
        <color theme="1"/>
        <rFont val="Noto Sans CJK SC"/>
        <family val="2"/>
      </rPr>
      <t xml:space="preserve">股權成本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</si>
  <si>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</si>
  <si>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Noto Sans CJK SC"/>
        <family val="2"/>
      </rPr>
      <t xml:space="preserve">股權市值（現價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完全轉換股數）</t>
    </r>
  </si>
  <si>
    <r>
      <rPr>
        <sz val="11"/>
        <color theme="1"/>
        <rFont val="Noto Sans CJK SC"/>
        <family val="2"/>
      </rPr>
      <t xml:space="preserve">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，含融資租賃）</t>
    </r>
  </si>
  <si>
    <t xml:space="preserve">WACC</t>
  </si>
  <si>
    <t xml:space="preserve">市值權重</t>
  </si>
  <si>
    <r>
      <rPr>
        <sz val="11"/>
        <color theme="1"/>
        <rFont val="Noto Sans CJK SC"/>
        <family val="2"/>
      </rPr>
      <t xml:space="preserve">淨債務（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</si>
  <si>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負債（視同債務）</t>
    </r>
  </si>
  <si>
    <t xml:space="preserve">遞延所得稅資產的價值已反映在現金稅率，不另加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</si>
  <si>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</si>
  <si>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適用倍數（中位數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成長溢價）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</si>
  <si>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（股權市值＋淨債務＋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</si>
  <si>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近四季調整後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</si>
  <si>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（各情境）</t>
    </r>
  </si>
  <si>
    <r>
      <rPr>
        <sz val="11"/>
        <color theme="1"/>
        <rFont val="Noto Sans CJK SC"/>
        <family val="2"/>
      </rPr>
      <t xml:space="preserve">− 營業利益的現金稅（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ctr</t>
    </r>
    <r>
      <rPr>
        <sz val="11"/>
        <color theme="1"/>
        <rFont val="Noto Sans CJK SC"/>
        <family val="2"/>
      </rPr>
      <t xml:space="preserve">，之後用有效稅率）</t>
    </r>
  </si>
  <si>
    <t xml:space="preserve">− 資本支出</t>
  </si>
  <si>
    <t xml:space="preserve">− 營運資金與風險自留</t>
  </si>
  <si>
    <t xml:space="preserve">無槓桿自由現金流</t>
  </si>
  <si>
    <t xml:space="preserve">折現因子</t>
  </si>
  <si>
    <t xml:space="preserve">現值</t>
  </si>
  <si>
    <t xml:space="preserve">永續價值現值</t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</si>
  <si>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</si>
  <si>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永續價值占 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</si>
  <si>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永續價值隱含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（對照倍數法的適用倍數）</t>
    </r>
  </si>
  <si>
    <r>
      <rPr>
        <sz val="11"/>
        <color theme="1"/>
        <rFont val="Noto Sans CJK SC"/>
        <family val="2"/>
      </rPr>
      <t xml:space="preserve">每股價值（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</si>
  <si>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每股價值（倍數法：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適用倍數）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</si>
  <si>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× w</t>
    </r>
    <r>
      <rPr>
        <sz val="11"/>
        <color theme="1"/>
        <rFont val="Noto Sans CJK SC"/>
        <family val="2"/>
      </rPr>
      <t xml:space="preserve">＋倍數法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w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</si>
  <si>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現金流序列（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年底以市場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買入；</t>
    </r>
    <r>
      <rPr>
        <sz val="11"/>
        <color theme="1"/>
        <rFont val="Calibri"/>
        <family val="2"/>
        <charset val="1"/>
      </rPr>
      <t xml:space="preserve">D–L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FY2027–FY2035 </t>
    </r>
    <r>
      <rPr>
        <sz val="11"/>
        <color theme="1"/>
        <rFont val="Noto Sans CJK SC"/>
        <family val="2"/>
      </rPr>
      <t xml:space="preserve">無槓桿自由現金流；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另加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年以適用倍數出場）</t>
    </r>
  </si>
  <si>
    <r>
      <rPr>
        <sz val="11"/>
        <color theme="1"/>
        <rFont val="Noto Sans CJK SC"/>
        <family val="2"/>
      </rPr>
      <t xml:space="preserve">市場隱含報酬率（以現價買入、持有至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年的 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）</t>
    </r>
  </si>
  <si>
    <t xml:space="preserve">彙總</t>
  </si>
  <si>
    <t xml:space="preserve">每股價值（倍數法）</t>
  </si>
  <si>
    <t xml:space="preserve">情境目標價</t>
  </si>
  <si>
    <r>
      <rPr>
        <sz val="11"/>
        <color theme="1"/>
        <rFont val="Noto Sans CJK SC"/>
        <family val="2"/>
      </rPr>
      <t xml:space="preserve">永續價值隱含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</si>
  <si>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市場隱含報酬率（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</si>
  <si>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t xml:space="preserve">情境機率</t>
  </si>
  <si>
    <r>
      <rPr>
        <sz val="11"/>
        <color theme="1"/>
        <rFont val="Noto Sans CJK SC"/>
        <family val="2"/>
      </rPr>
      <t xml:space="preserve">機率加權市場隱含報酬率（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）</t>
    </r>
  </si>
  <si>
    <t xml:space="preserve">結論</t>
  </si>
  <si>
    <t xml:space="preserve">加權目標價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</si>
  <si>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</si>
  <si>
    <r>
      <rPr>
        <sz val="11"/>
        <color theme="1"/>
        <rFont val="Noto Sans CJK SC"/>
        <family val="2"/>
      </rPr>
      <t xml:space="preserve">上檔空間（加權目標價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</si>
  <si>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加權每股價值：</t>
    </r>
    <r>
      <rPr>
        <sz val="11"/>
        <color theme="1"/>
        <rFont val="Calibri"/>
        <family val="2"/>
        <charset val="1"/>
      </rPr>
      <t xml:space="preserve">DCF</t>
    </r>
  </si>
  <si>
    <t xml:space="preserve">加權每股價值：倍數法</t>
  </si>
  <si>
    <t xml:space="preserve">分析師平均目標價（對照）</t>
  </si>
  <si>
    <t xml:space="preserve">TIKR 2026-10-13</t>
  </si>
  <si>
    <r>
      <rPr>
        <sz val="11"/>
        <color theme="1"/>
        <rFont val="Noto Sans CJK SC"/>
        <family val="2"/>
      </rPr>
      <t xml:space="preserve">市場隱含：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年須達到的調整後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（市場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滾至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適用倍數）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</si>
  <si>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</si>
  <si>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市場隱含：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年零售台數（以情境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年每台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換算）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</si>
  <si>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</si>
  <si>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</si>
  <si>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對帳（不作校準）：模型值與公司指引、市場共識、評等機構指標、放空報告主張逐列比較</t>
    </r>
  </si>
  <si>
    <r>
      <rPr>
        <b val="true"/>
        <sz val="11"/>
        <rFont val="Noto Sans CJK SC"/>
        <family val="2"/>
      </rPr>
      <t xml:space="preserve">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）／實績</t>
    </r>
  </si>
  <si>
    <t xml:space="preserve">外部值</t>
  </si>
  <si>
    <t xml:space="preserve">差距</t>
  </si>
  <si>
    <t xml:space="preserve">外部來源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</si>
  <si>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公司指引「區間高端」（取 </t>
    </r>
    <r>
      <rPr>
        <sz val="11"/>
        <color theme="1"/>
        <rFont val="Calibri"/>
        <family val="2"/>
        <charset val="1"/>
      </rPr>
      <t xml:space="preserve">2.85–3.0B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</si>
  <si>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 2026-10-13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</si>
  <si>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市場共識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</si>
  <si>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</si>
  <si>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零售台數：實績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</si>
  <si>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</si>
  <si>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實績高 </t>
    </r>
    <r>
      <rPr>
        <sz val="11"/>
        <color theme="1"/>
        <rFont val="Calibri"/>
        <family val="2"/>
        <charset val="1"/>
      </rPr>
      <t xml:space="preserve">3.4%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</si>
  <si>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</si>
  <si>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</si>
  <si>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</si>
  <si>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</si>
  <si>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利率上升下仍持平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</si>
  <si>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</si>
  <si>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公司中期目標（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萬台）</t>
    </r>
  </si>
  <si>
    <r>
      <rPr>
        <sz val="11"/>
        <color theme="1"/>
        <rFont val="Noto Sans CJK SC"/>
        <family val="2"/>
      </rPr>
      <t xml:space="preserve">公司目標對應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萬台；情境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萬台</t>
    </r>
  </si>
  <si>
    <r>
      <rPr>
        <sz val="11"/>
        <color theme="1"/>
        <rFont val="Noto Sans CJK SC"/>
        <family val="2"/>
      </rPr>
      <t xml:space="preserve">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vs 2026-09-30 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</si>
  <si>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TTM</t>
    </r>
  </si>
  <si>
    <r>
      <rPr>
        <sz val="11"/>
        <color theme="1"/>
        <rFont val="Noto Sans CJK SC"/>
        <family val="2"/>
      </rPr>
      <t xml:space="preserve">淨債務／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vs 2026-09-30 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</si>
  <si>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1.0x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</si>
  <si>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vs Moody's </t>
    </r>
    <r>
      <rPr>
        <sz val="11"/>
        <color theme="1"/>
        <rFont val="Noto Sans CJK SC"/>
        <family val="2"/>
      </rPr>
      <t xml:space="preserve">升評門檻）</t>
    </r>
  </si>
  <si>
    <t xml:space="preserve">Moody's 2025-10-02</t>
  </si>
  <si>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Noto Sans CJK SC"/>
        <family val="2"/>
      </rPr>
      <t xml:space="preserve">時為約 </t>
    </r>
    <r>
      <rPr>
        <sz val="11"/>
        <color theme="1"/>
        <rFont val="Calibri"/>
        <family val="2"/>
        <charset val="1"/>
      </rPr>
      <t xml:space="preserve">2.8x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</si>
  <si>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vs Gotham </t>
    </r>
    <r>
      <rPr>
        <sz val="11"/>
        <color theme="1"/>
        <rFont val="Noto Sans CJK SC"/>
        <family val="2"/>
      </rPr>
      <t xml:space="preserve">主張）</t>
    </r>
  </si>
  <si>
    <r>
      <rPr>
        <sz val="11"/>
        <color theme="1"/>
        <rFont val="Calibri"/>
        <family val="2"/>
        <charset val="1"/>
      </rPr>
      <t xml:space="preserve">Gotham City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Hedge Fund Alpha </t>
    </r>
    <r>
      <rPr>
        <sz val="11"/>
        <color theme="1"/>
        <rFont val="Noto Sans CJK SC"/>
        <family val="2"/>
      </rPr>
      <t xml:space="preserve">報導）</t>
    </r>
  </si>
  <si>
    <t xml:space="preserve">放空方；本模型以公司揭露數字推得，口徑可能不同</t>
  </si>
  <si>
    <r>
      <rPr>
        <sz val="11"/>
        <color theme="1"/>
        <rFont val="Noto Sans CJK SC"/>
        <family val="2"/>
      </rPr>
      <t xml:space="preserve">加權目標價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分析師平均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</si>
  <si>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</si>
  <si>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 ÷ TTM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同業中位數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</si>
  <si>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，近四季）</t>
    </r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</si>
  <si>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Moody's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評等動作；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年票據贖回價格表；</t>
    </r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全面改建成本；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償付時程；非 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貸款的終身損失預期（</t>
    </r>
    <r>
      <rPr>
        <sz val="11"/>
        <color theme="1"/>
        <rFont val="Calibri"/>
        <family val="2"/>
        <charset val="1"/>
      </rPr>
      <t xml:space="preserve">144A </t>
    </r>
    <r>
      <rPr>
        <sz val="11"/>
        <color theme="1"/>
        <rFont val="Noto Sans CJK SC"/>
        <family val="2"/>
      </rPr>
      <t xml:space="preserve">發行未公開）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</si>
  <si>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一次動一個輸入（低／高），完整重算整本模型；輸出：加權目標價、情境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收支關卡（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合計）</t>
    </r>
  </si>
  <si>
    <t xml:space="preserve">輸入</t>
  </si>
  <si>
    <t xml:space="preserve">低值</t>
  </si>
  <si>
    <t xml:space="preserve">高值</t>
  </si>
  <si>
    <t xml:space="preserve">基準：加權目標價</t>
  </si>
  <si>
    <t xml:space="preserve">低值：目標價變化</t>
  </si>
  <si>
    <t xml:space="preserve">高值：目標價變化</t>
  </si>
  <si>
    <r>
      <rPr>
        <b val="true"/>
        <sz val="11"/>
        <rFont val="Noto Sans CJK SC"/>
        <family val="2"/>
      </rPr>
      <t xml:space="preserve">低值：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債務／</t>
    </r>
    <r>
      <rPr>
        <b val="true"/>
        <sz val="11"/>
        <rFont val="Cambria"/>
        <family val="0"/>
        <charset val="1"/>
      </rPr>
      <t xml:space="preserve">EBITDA</t>
    </r>
  </si>
  <si>
    <r>
      <rPr>
        <b val="true"/>
        <sz val="11"/>
        <rFont val="Noto Sans CJK SC"/>
        <family val="2"/>
      </rPr>
      <t xml:space="preserve">高值：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債務／</t>
    </r>
    <r>
      <rPr>
        <b val="true"/>
        <sz val="11"/>
        <rFont val="Cambria"/>
        <family val="0"/>
        <charset val="1"/>
      </rPr>
      <t xml:space="preserve">EBITDA</t>
    </r>
  </si>
  <si>
    <r>
      <rPr>
        <b val="true"/>
        <sz val="11"/>
        <rFont val="Noto Sans CJK SC"/>
        <family val="2"/>
      </rPr>
      <t xml:space="preserve">低值：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收支關卡</t>
    </r>
  </si>
  <si>
    <r>
      <rPr>
        <b val="true"/>
        <sz val="11"/>
        <rFont val="Noto Sans CJK SC"/>
        <family val="2"/>
      </rPr>
      <t xml:space="preserve">高值：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收支關卡</t>
    </r>
  </si>
  <si>
    <t xml:space="preserve">基準值：加權目標價（美元）</t>
  </si>
  <si>
    <r>
      <rPr>
        <sz val="11"/>
        <color theme="1"/>
        <rFont val="Noto Sans CJK SC"/>
        <family val="2"/>
      </rPr>
      <t xml:space="preserve">基準值：情境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</si>
  <si>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基準值：情境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收支關卡（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</si>
  <si>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出處（擷取日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</si>
  <si>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t xml:space="preserve">序</t>
  </si>
  <si>
    <t xml:space="preserve">出處</t>
  </si>
  <si>
    <t xml:space="preserve">內容</t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</si>
  <si>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 </t>
    </r>
    <r>
      <rPr>
        <sz val="11"/>
        <color theme="1"/>
        <rFont val="Noto Sans CJK SC"/>
        <family val="2"/>
      </rPr>
      <t xml:space="preserve">股東信 </t>
    </r>
    <r>
      <rPr>
        <sz val="11"/>
        <color theme="1"/>
        <rFont val="Calibri"/>
        <family val="2"/>
        <charset val="1"/>
      </rPr>
      <t xml:space="preserve">Q4 2024–Q2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CIK 1690820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</si>
  <si>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季度營收線、毛利、台數、調整後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對帳、流動性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</si>
  <si>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）附註 </t>
    </r>
    <r>
      <rPr>
        <sz val="11"/>
        <color theme="1"/>
        <rFont val="Calibri"/>
        <family val="2"/>
        <charset val="1"/>
      </rPr>
      <t xml:space="preserve">6–10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</si>
  <si>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Noto Sans CJK SC"/>
        <family val="2"/>
      </rPr>
      <t xml:space="preserve">關係人、貸款出售協議（</t>
    </r>
    <r>
      <rPr>
        <sz val="11"/>
        <color theme="1"/>
        <rFont val="Calibri"/>
        <family val="2"/>
        <charset val="1"/>
      </rPr>
      <t xml:space="preserve">Ally</t>
    </r>
    <r>
      <rPr>
        <sz val="11"/>
        <color theme="1"/>
        <rFont val="Noto Sans CJK SC"/>
        <family val="2"/>
      </rPr>
      <t xml:space="preserve">、整批出售、證券化）、受益權、債務、股權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</si>
  <si>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</si>
  <si>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評價備抵釋放、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、會計師 </t>
    </r>
    <r>
      <rPr>
        <sz val="11"/>
        <color theme="1"/>
        <rFont val="Calibri"/>
        <family val="2"/>
        <charset val="1"/>
      </rPr>
      <t xml:space="preserve">Grant Thornton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</si>
  <si>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2026-08-14</t>
    </r>
    <r>
      <rPr>
        <sz val="11"/>
        <color theme="1"/>
        <rFont val="Noto Sans CJK SC"/>
        <family val="2"/>
      </rPr>
      <t xml:space="preserve">（定期貸款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信用協議）；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</si>
  <si>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Calibri"/>
        <family val="2"/>
        <charset val="1"/>
      </rPr>
      <t xml:space="preserve">1.66B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到期、贖回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年票據；淨債務／</t>
    </r>
    <r>
      <rPr>
        <sz val="11"/>
        <color theme="1"/>
        <rFont val="Calibri"/>
        <family val="2"/>
        <charset val="1"/>
      </rPr>
      <t xml:space="preserve">EBITDA 1.0x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</si>
  <si>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2026-05-06</t>
    </r>
    <r>
      <rPr>
        <sz val="11"/>
        <color theme="1"/>
        <rFont val="Noto Sans CJK SC"/>
        <family val="2"/>
      </rPr>
      <t xml:space="preserve">（章程修正，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拆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</si>
  <si>
    <t xml:space="preserve">股票分割</t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</si>
  <si>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Auto Receivables Trust 2026-P3 424B5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2026-08-20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CIK 1770373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</si>
  <si>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管理組合逾期與淨沖銷（全部／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）、承銷模型變更</t>
    </r>
  </si>
  <si>
    <t xml:space="preserve">SEC XBRL companyfacts CIK0001690820</t>
  </si>
  <si>
    <r>
      <rPr>
        <sz val="11"/>
        <color theme="1"/>
        <rFont val="Noto Sans CJK SC"/>
        <family val="2"/>
      </rPr>
      <t xml:space="preserve">季末資產負債表、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年九個月現金流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</si>
  <si>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CVNA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KMX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</si>
  <si>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EV/EBITDA</t>
    </r>
  </si>
  <si>
    <r>
      <rPr>
        <sz val="11"/>
        <color theme="1"/>
        <rFont val="Calibri"/>
        <family val="2"/>
        <charset val="1"/>
      </rPr>
      <t xml:space="preserve">sofrrate.com 2026-10 SOFR </t>
    </r>
    <r>
      <rPr>
        <sz val="11"/>
        <color theme="1"/>
        <rFont val="Noto Sans CJK SC"/>
        <family val="2"/>
      </rPr>
      <t xml:space="preserve">每日表</t>
    </r>
  </si>
  <si>
    <r>
      <rPr>
        <sz val="11"/>
        <color theme="1"/>
        <rFont val="Calibri"/>
        <family val="2"/>
        <charset val="1"/>
      </rPr>
      <t xml:space="preserve">SOFR 3.93%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</si>
  <si>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</si>
  <si>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台數 </t>
    </r>
    <r>
      <rPr>
        <sz val="11"/>
        <color theme="1"/>
        <rFont val="Calibri"/>
        <family val="2"/>
        <charset val="1"/>
      </rPr>
      <t xml:space="preserve">210,299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7.67B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0.47</t>
    </r>
    <r>
      <rPr>
        <sz val="11"/>
        <color theme="1"/>
        <rFont val="Noto Sans CJK SC"/>
        <family val="2"/>
      </rPr>
      <t xml:space="preserve">、各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</si>
  <si>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、目標價平均約 </t>
    </r>
    <r>
      <rPr>
        <sz val="11"/>
        <color theme="1"/>
        <rFont val="Calibri"/>
        <family val="2"/>
        <charset val="1"/>
      </rPr>
      <t xml:space="preserve">82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</si>
  <si>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</si>
  <si>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評等門檻與槓桿指標</t>
  </si>
  <si>
    <r>
      <rPr>
        <sz val="11"/>
        <color theme="1"/>
        <rFont val="Calibri"/>
        <family val="2"/>
        <charset val="1"/>
      </rPr>
      <t xml:space="preserve">Hedge Fund Alpha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24/7 Wall St.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</si>
  <si>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Gotham City Research </t>
    </r>
    <r>
      <rPr>
        <sz val="11"/>
        <color theme="1"/>
        <rFont val="Noto Sans CJK SC"/>
        <family val="2"/>
      </rPr>
      <t xml:space="preserve">放空報告主張與公司回應</t>
    </r>
  </si>
  <si>
    <r>
      <rPr>
        <sz val="11"/>
        <color theme="1"/>
        <rFont val="Calibri"/>
        <family val="2"/>
        <charset val="1"/>
      </rPr>
      <t xml:space="preserve">Cox Automotive Q3 2026 Manheim </t>
    </r>
    <r>
      <rPr>
        <sz val="11"/>
        <color theme="1"/>
        <rFont val="Noto Sans CJK SC"/>
        <family val="2"/>
      </rPr>
      <t xml:space="preserve">指數新聞稿</t>
    </r>
  </si>
  <si>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205.9</t>
    </r>
    <r>
      <rPr>
        <sz val="11"/>
        <color theme="1"/>
        <rFont val="Noto Sans CJK SC"/>
        <family val="2"/>
      </rPr>
      <t xml:space="preserve">、年減 </t>
    </r>
    <r>
      <rPr>
        <sz val="11"/>
        <color theme="1"/>
        <rFont val="Calibri"/>
        <family val="2"/>
        <charset val="1"/>
      </rPr>
      <t xml:space="preserve">0.6%</t>
    </r>
  </si>
  <si>
    <r>
      <rPr>
        <sz val="11"/>
        <color theme="1"/>
        <rFont val="Calibri"/>
        <family val="2"/>
        <charset val="1"/>
      </rPr>
      <t xml:space="preserve">ESP Data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Fitch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</si>
  <si>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次級車貸 </t>
    </r>
    <r>
      <rPr>
        <sz val="11"/>
        <color theme="1"/>
        <rFont val="Calibri"/>
        <family val="2"/>
        <charset val="1"/>
      </rPr>
      <t xml:space="preserve">ABS 60 </t>
    </r>
    <r>
      <rPr>
        <sz val="11"/>
        <color theme="1"/>
        <rFont val="Noto Sans CJK SC"/>
        <family val="2"/>
      </rPr>
      <t xml:space="preserve">天以上逾期率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6.90%</t>
    </r>
    <r>
      <rPr>
        <sz val="11"/>
        <color theme="1"/>
        <rFont val="Noto Sans CJK SC"/>
        <family val="2"/>
      </rPr>
      <t xml:space="preserve">（舊方法）、</t>
    </r>
    <r>
      <rPr>
        <sz val="11"/>
        <color theme="1"/>
        <rFont val="Calibri"/>
        <family val="2"/>
        <charset val="1"/>
      </rPr>
      <t xml:space="preserve">2026-07 6.13%</t>
    </r>
    <r>
      <rPr>
        <sz val="11"/>
        <color theme="1"/>
        <rFont val="Noto Sans CJK SC"/>
        <family val="2"/>
      </rPr>
      <t xml:space="preserve">（新方法）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</si>
  <si>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</si>
  <si>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YinchenChang/company-models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docs/plan/</t>
    </r>
    <r>
      <rPr>
        <sz val="11"/>
        <color theme="1"/>
        <rFont val="Noto Sans CJK SC"/>
        <family val="2"/>
      </rPr>
      <t xml:space="preserve">個股模型原則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命題加營收分部</t>
    </r>
    <r>
      <rPr>
        <sz val="11"/>
        <color theme="1"/>
        <rFont val="Calibri"/>
        <family val="2"/>
        <charset val="1"/>
      </rPr>
      <t xml:space="preserve">.md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crwv-model v4.5</t>
    </r>
  </si>
  <si>
    <t xml:space="preserve">模型架構、估值規則、無風險利率輸入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</si>
</sst>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#,##0"/>
    <numFmt numFmtId="167" formatCode="0.00%"/>
    <numFmt numFmtId="168" formatCode="0"/>
    <numFmt numFmtId="169" formatCode="0.00"/>
    <numFmt numFmtId="170" formatCode="0%"/>
    <numFmt numFmtId="171" formatCode="0.0"/>
    <numFmt numFmtId="172" formatCode="#,##0.0"/>
    <numFmt numFmtId="173" formatCode="0.00\x"/>
    <numFmt numFmtId="174" formatCode="\+0%;\-0%;0%"/>
    <numFmt numFmtId="175" formatCode="\+0.0%;\-0.0%;0.0%"/>
    <numFmt numFmtId="176" formatCode="0.000"/>
    <numFmt numFmtId="177" formatCode="\+0.0%;\-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15" hidden="false" customHeight="false" outlineLevel="0" collapsed="false">
      <c r="A1" s="0" t="s">
        <v>0</v>
      </c>
    </row>
    <row r="2" customFormat="false" ht="32.8" hidden="false" customHeight="false" outlineLevel="0" collapsed="false">
      <c r="A2" s="1" t="s">
        <v>1</v>
      </c>
    </row>
    <row r="3" customFormat="false" ht="17.15" hidden="false" customHeight="false" outlineLevel="0" collapsed="false">
      <c r="A3" s="1" t="s">
        <v>2</v>
      </c>
    </row>
    <row r="4" customFormat="false" ht="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1" t="str">
        <f aca="false">"① 收支：情境 B 的 FY2027–FY2031 收支關卡合計 "&amp;TEXT(CF!D4,"#,##0")&amp;"（百萬美元），情境 C 為 "&amp;TEXT(CF!E4,"#,##0")&amp;"；情境 C 期間最低現金 "&amp;TEXT(CF!E6,"#,##0")&amp;"，新增外部融資需求 "&amp;TEXT(CF!E5,"#,##0")&amp;"。"</f>
        <v>① 收支：情境 B 的 FY2027–FY2031 收支關卡合計 16,038（百萬美元），情境 C 為 5,947；情境 C 期間最低現金 4,225，新增外部融資需求 0。</v>
      </c>
    </row>
    <row r="6" customFormat="false" ht="17.15" hidden="false" customHeight="false" outlineLevel="0" collapsed="false">
      <c r="A6" s="1" t="str">
        <f aca="false">"② 債信：2026-09-30 TTM 債務／EBITDA "&amp;TEXT(ttm_lev,"0.0")&amp;"x，扣除貸款出售利得後為 "&amp;TEXT(ttm_lev_xg,"0.0")&amp;"x；情境 C 2027 年債務／EBITDA "&amp;TEXT(Credit!E47,"0.0")&amp;"x（Moody's 升評門檻 4.0x）。"</f>
        <v>② 債信：2026-09-30 TTM 債務／EBITDA 1.9x，扣除貸款出售利得後為 3.9x；情境 C 2027 年債務／EBITDA 3.8x（Moody's 升評門檻 4.0x）。</v>
      </c>
    </row>
    <row r="7" customFormat="false" ht="17.15" hidden="false" customHeight="false" outlineLevel="0" collapsed="false">
      <c r="A7" s="1" t="str">
        <f aca="false">"③ 貸款去化：已承諾承購（Ally＋整批出售）只涵蓋情境 B 2027 年發放量的 "&amp;TEXT(Credit!E37,"0%")&amp;"；若所有買方與 ABS 同時停止，現金與倉儲額度約可撐 "&amp;TEXT(Credit!C92,"0.0")&amp;" 個月（Ally 照常則 "&amp;TEXT(Credit!D92,"0.0")&amp;" 個月）。"</f>
        <v>③ 貸款去化：已承諾承購（Ally＋整批出售）只涵蓋情境 B 2027 年發放量的 59%；若所有買方與 ABS 同時停止，現金與倉儲額度約可撐 3.7 個月（Ally 照常則 6.3 個月）。</v>
      </c>
    </row>
    <row r="8" customFormat="false" ht="17.15" hidden="false" customHeight="false" outlineLevel="0" collapsed="false">
      <c r="A8" s="1" t="str">
        <f aca="false">"④ 消費信用：管理組合年化淨沖銷率 2026 上半年 "&amp;TEXT(Credit!I66,"0.00%")&amp;"（非 Prime 推得 "&amp;TEXT(Credit!I68,"0.0%")&amp;"），以一年前餘額計為 "&amp;TEXT(Credit!I69,"0.00%")&amp;"——改善有一部分來自組合快速成長的分母稀釋。"</f>
        <v>④ 消費信用：管理組合年化淨沖銷率 2026 上半年 3.16%（非 Prime 推得 6.0%），以一年前餘額計為 4.10%——改善有一部分來自組合快速成長的分母稀釋。</v>
      </c>
    </row>
    <row r="9" customFormat="false" ht="32.8" hidden="false" customHeight="false" outlineLevel="0" collapsed="false">
      <c r="A9" s="1" t="str">
        <f aca="false">"⑤ 估值：加權目標價 "&amp;TEXT(v_tp_w,"0.0")&amp;" 美元，相對現價 "&amp;TEXT(v_up,"+0%;-0%")&amp;"（"&amp;Val!C94&amp;"）；市場隱含 2030 年須有約 "&amp;TEXT(Val!C93/10000,"0")&amp;" 萬台零售量（以情境 B 每台 EBITDA 換算；情境 B 為 "&amp;TEXT(Thesis!H34/10000,"0")&amp;" 萬台）。三情境 IRR 機率加權 "&amp;TEXT(v_irr_w,"0.0%")&amp;"，低於 WACC "&amp;TEXT(v_wacc,"0.0%")&amp;"——結論取決於折現率。"</f>
        <v>⑤ 估值：加權目標價 35.6 美元，相對現價 -44%（放空）；市場隱含 2030 年須有約 218 萬台零售量（以情境 B 每台 EBITDA 換算；情境 B 為 163 萬台）。三情境 IRR 機率加權 12.7%，低於 WACC 17.7%——結論取決於折現率。</v>
      </c>
    </row>
    <row r="11" customFormat="false" ht="17.15" hidden="false" customHeight="false" outlineLevel="0" collapsed="false">
      <c r="A11" s="2" t="s">
        <v>4</v>
      </c>
    </row>
    <row r="12" customFormat="false" ht="17.15" hidden="false" customHeight="false" outlineLevel="0" collapsed="false">
      <c r="A12" s="2" t="s">
        <v>5</v>
      </c>
    </row>
    <row r="13" customFormat="false" ht="17.15" hidden="false" customHeight="false" outlineLevel="0" collapsed="false">
      <c r="A13" s="2" t="s">
        <v>6</v>
      </c>
    </row>
    <row r="14" customFormat="false" ht="17.15" hidden="false" customHeight="false" outlineLevel="0" collapsed="false">
      <c r="A14" s="2" t="s">
        <v>7</v>
      </c>
    </row>
    <row r="15" customFormat="false" ht="17.15" hidden="false" customHeight="false" outlineLevel="0" collapsed="false">
      <c r="A15" s="0" t="s">
        <v>8</v>
      </c>
    </row>
    <row r="16" customFormat="false" ht="15" hidden="false" customHeight="false" outlineLevel="0" collapsed="false">
      <c r="A16" s="2" t="s">
        <v>9</v>
      </c>
    </row>
    <row r="17" customFormat="false" ht="48.5" hidden="false" customHeight="false" outlineLevel="0" collapsed="false">
      <c r="A17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8" min="8" style="0" width="60"/>
    <col collapsed="false" customWidth="true" hidden="false" outlineLevel="0" max="9" min="9" style="0" width="5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2" t="s">
        <v>12</v>
      </c>
    </row>
    <row r="3" customFormat="false" ht="17.1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</row>
    <row r="4" customFormat="false" ht="17.15" hidden="false" customHeight="false" outlineLevel="0" collapsed="false">
      <c r="A4" s="5" t="s">
        <v>22</v>
      </c>
    </row>
    <row r="5" customFormat="false" ht="17.15" hidden="false" customHeight="false" outlineLevel="0" collapsed="false">
      <c r="A5" s="0" t="s">
        <v>23</v>
      </c>
      <c r="B5" s="2" t="s">
        <v>24</v>
      </c>
      <c r="C5" s="0" t="s">
        <v>25</v>
      </c>
      <c r="E5" s="6" t="n">
        <v>63.99</v>
      </c>
      <c r="G5" s="7" t="s">
        <v>26</v>
      </c>
      <c r="H5" s="7" t="s">
        <v>27</v>
      </c>
      <c r="I5" s="7" t="s">
        <v>28</v>
      </c>
    </row>
    <row r="6" customFormat="false" ht="17.15" hidden="false" customHeight="false" outlineLevel="0" collapsed="false">
      <c r="A6" s="0" t="s">
        <v>29</v>
      </c>
      <c r="B6" s="2" t="s">
        <v>30</v>
      </c>
      <c r="C6" s="2" t="s">
        <v>31</v>
      </c>
      <c r="E6" s="6" t="n">
        <v>1127</v>
      </c>
      <c r="G6" s="7" t="s">
        <v>26</v>
      </c>
      <c r="H6" s="7" t="s">
        <v>32</v>
      </c>
      <c r="I6" s="7" t="s">
        <v>33</v>
      </c>
    </row>
    <row r="7" customFormat="false" ht="17.15" hidden="false" customHeight="false" outlineLevel="0" collapsed="false">
      <c r="A7" s="5" t="s">
        <v>34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2" t="s">
        <v>37</v>
      </c>
      <c r="E8" s="0" t="n">
        <f aca="false">lq_units*(1+q4_seq)</f>
        <v>221732.7</v>
      </c>
      <c r="G8" s="0" t="s">
        <v>38</v>
      </c>
      <c r="H8" s="0" t="s">
        <v>39</v>
      </c>
      <c r="I8" s="2" t="s">
        <v>40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0" t="s">
        <v>25</v>
      </c>
      <c r="D9" s="6" t="n">
        <v>-935</v>
      </c>
      <c r="E9" s="6" t="n">
        <v>-600</v>
      </c>
      <c r="F9" s="6" t="n">
        <v>-300</v>
      </c>
      <c r="G9" s="7" t="s">
        <v>38</v>
      </c>
      <c r="H9" s="7" t="s">
        <v>43</v>
      </c>
      <c r="I9" s="2" t="s">
        <v>44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0" t="s">
        <v>47</v>
      </c>
      <c r="D10" s="6" t="n">
        <v>0</v>
      </c>
      <c r="E10" s="6" t="n">
        <v>0.02</v>
      </c>
      <c r="F10" s="6" t="n">
        <v>0.05</v>
      </c>
      <c r="G10" s="7" t="s">
        <v>48</v>
      </c>
      <c r="H10" s="2" t="s">
        <v>49</v>
      </c>
      <c r="I10" s="7" t="s">
        <v>50</v>
      </c>
    </row>
    <row r="11" customFormat="false" ht="17.15" hidden="false" customHeight="false" outlineLevel="0" collapsed="false">
      <c r="A11" s="0" t="s">
        <v>51</v>
      </c>
      <c r="B11" s="2" t="s">
        <v>52</v>
      </c>
      <c r="C11" s="0" t="s">
        <v>47</v>
      </c>
      <c r="D11" s="6" t="n">
        <v>0.24</v>
      </c>
      <c r="E11" s="6" t="n">
        <v>0.32</v>
      </c>
      <c r="F11" s="6" t="n">
        <v>0.4</v>
      </c>
      <c r="G11" s="7" t="s">
        <v>48</v>
      </c>
      <c r="H11" s="2" t="s">
        <v>53</v>
      </c>
      <c r="I11" s="7" t="s">
        <v>50</v>
      </c>
    </row>
    <row r="12" customFormat="false" ht="17.15" hidden="false" customHeight="false" outlineLevel="0" collapsed="false">
      <c r="A12" s="0" t="s">
        <v>54</v>
      </c>
      <c r="B12" s="2" t="s">
        <v>55</v>
      </c>
      <c r="C12" s="0" t="s">
        <v>47</v>
      </c>
      <c r="D12" s="6" t="n">
        <v>0.2</v>
      </c>
      <c r="E12" s="6" t="n">
        <v>0.28</v>
      </c>
      <c r="F12" s="6" t="n">
        <v>0.36</v>
      </c>
      <c r="G12" s="7" t="s">
        <v>48</v>
      </c>
      <c r="H12" s="2" t="s">
        <v>56</v>
      </c>
      <c r="I12" s="7" t="s">
        <v>50</v>
      </c>
    </row>
    <row r="13" customFormat="false" ht="17.15" hidden="false" customHeight="false" outlineLevel="0" collapsed="false">
      <c r="A13" s="0" t="s">
        <v>57</v>
      </c>
      <c r="B13" s="2" t="s">
        <v>58</v>
      </c>
      <c r="C13" s="0" t="s">
        <v>47</v>
      </c>
      <c r="D13" s="6" t="n">
        <v>0.15</v>
      </c>
      <c r="E13" s="6" t="n">
        <v>0.2</v>
      </c>
      <c r="F13" s="6" t="n">
        <v>0.25</v>
      </c>
      <c r="G13" s="7" t="s">
        <v>48</v>
      </c>
      <c r="H13" s="2" t="s">
        <v>56</v>
      </c>
      <c r="I13" s="7" t="s">
        <v>50</v>
      </c>
    </row>
    <row r="14" customFormat="false" ht="17.15" hidden="false" customHeight="false" outlineLevel="0" collapsed="false">
      <c r="A14" s="0" t="s">
        <v>59</v>
      </c>
      <c r="B14" s="2" t="s">
        <v>60</v>
      </c>
      <c r="C14" s="0" t="s">
        <v>47</v>
      </c>
      <c r="D14" s="6" t="n">
        <v>0.05</v>
      </c>
      <c r="E14" s="6" t="n">
        <v>0.08</v>
      </c>
      <c r="F14" s="6" t="n">
        <v>0.11</v>
      </c>
      <c r="G14" s="7" t="s">
        <v>48</v>
      </c>
      <c r="H14" s="2" t="s">
        <v>56</v>
      </c>
      <c r="I14" s="7" t="s">
        <v>50</v>
      </c>
    </row>
    <row r="15" customFormat="false" ht="17.15" hidden="false" customHeight="false" outlineLevel="0" collapsed="false">
      <c r="A15" s="0" t="s">
        <v>61</v>
      </c>
      <c r="B15" s="2" t="s">
        <v>62</v>
      </c>
      <c r="C15" s="0" t="s">
        <v>47</v>
      </c>
      <c r="D15" s="6" t="n">
        <v>0.17</v>
      </c>
      <c r="E15" s="6" t="n">
        <v>0.25</v>
      </c>
      <c r="F15" s="6" t="n">
        <v>0.33</v>
      </c>
      <c r="G15" s="7" t="s">
        <v>48</v>
      </c>
      <c r="H15" s="7" t="s">
        <v>63</v>
      </c>
      <c r="I15" s="7" t="s">
        <v>50</v>
      </c>
    </row>
    <row r="16" customFormat="false" ht="17.15" hidden="false" customHeight="false" outlineLevel="0" collapsed="false">
      <c r="A16" s="0" t="s">
        <v>64</v>
      </c>
      <c r="B16" s="2" t="s">
        <v>65</v>
      </c>
      <c r="C16" s="0" t="s">
        <v>47</v>
      </c>
      <c r="D16" s="6" t="n">
        <v>0.12</v>
      </c>
      <c r="E16" s="6" t="n">
        <v>0.2</v>
      </c>
      <c r="F16" s="6" t="n">
        <v>0.28</v>
      </c>
      <c r="G16" s="7" t="s">
        <v>48</v>
      </c>
      <c r="H16" s="2" t="s">
        <v>56</v>
      </c>
      <c r="I16" s="7" t="s">
        <v>50</v>
      </c>
    </row>
    <row r="17" customFormat="false" ht="17.15" hidden="false" customHeight="false" outlineLevel="0" collapsed="false">
      <c r="A17" s="0" t="s">
        <v>66</v>
      </c>
      <c r="B17" s="2" t="s">
        <v>67</v>
      </c>
      <c r="C17" s="0" t="s">
        <v>47</v>
      </c>
      <c r="D17" s="6" t="n">
        <v>0.08</v>
      </c>
      <c r="E17" s="6" t="n">
        <v>0.13</v>
      </c>
      <c r="F17" s="6" t="n">
        <v>0.18</v>
      </c>
      <c r="G17" s="7" t="s">
        <v>48</v>
      </c>
      <c r="H17" s="2" t="s">
        <v>56</v>
      </c>
      <c r="I17" s="7" t="s">
        <v>50</v>
      </c>
    </row>
    <row r="18" customFormat="false" ht="17.15" hidden="false" customHeight="false" outlineLevel="0" collapsed="false">
      <c r="A18" s="0" t="s">
        <v>68</v>
      </c>
      <c r="B18" s="2" t="s">
        <v>69</v>
      </c>
      <c r="C18" s="0" t="s">
        <v>47</v>
      </c>
      <c r="D18" s="6" t="n">
        <v>0.02</v>
      </c>
      <c r="E18" s="6" t="n">
        <v>0.05</v>
      </c>
      <c r="F18" s="6" t="n">
        <v>0.08</v>
      </c>
      <c r="G18" s="7" t="s">
        <v>48</v>
      </c>
      <c r="H18" s="2" t="s">
        <v>56</v>
      </c>
      <c r="I18" s="7" t="s">
        <v>50</v>
      </c>
    </row>
    <row r="19" customFormat="false" ht="17.15" hidden="false" customHeight="false" outlineLevel="0" collapsed="false">
      <c r="A19" s="0" t="s">
        <v>70</v>
      </c>
      <c r="B19" s="2" t="s">
        <v>71</v>
      </c>
      <c r="C19" s="0" t="s">
        <v>47</v>
      </c>
      <c r="D19" s="6" t="n">
        <v>-0.18</v>
      </c>
      <c r="E19" s="6" t="n">
        <v>-0.1</v>
      </c>
      <c r="F19" s="6" t="n">
        <v>-0.02</v>
      </c>
      <c r="G19" s="7" t="s">
        <v>48</v>
      </c>
      <c r="H19" s="7" t="s">
        <v>72</v>
      </c>
      <c r="I19" s="7" t="s">
        <v>50</v>
      </c>
    </row>
    <row r="20" customFormat="false" ht="17.15" hidden="false" customHeight="false" outlineLevel="0" collapsed="false">
      <c r="A20" s="0" t="s">
        <v>73</v>
      </c>
      <c r="B20" s="2" t="s">
        <v>74</v>
      </c>
      <c r="C20" s="0" t="s">
        <v>47</v>
      </c>
      <c r="D20" s="6" t="n">
        <v>-0.03</v>
      </c>
      <c r="E20" s="6" t="n">
        <v>0.05</v>
      </c>
      <c r="F20" s="6" t="n">
        <v>0.13</v>
      </c>
      <c r="G20" s="7" t="s">
        <v>48</v>
      </c>
      <c r="H20" s="2" t="s">
        <v>56</v>
      </c>
      <c r="I20" s="7" t="s">
        <v>50</v>
      </c>
    </row>
    <row r="21" customFormat="false" ht="17.15" hidden="false" customHeight="false" outlineLevel="0" collapsed="false">
      <c r="A21" s="0" t="s">
        <v>75</v>
      </c>
      <c r="B21" s="2" t="s">
        <v>76</v>
      </c>
      <c r="C21" s="0" t="s">
        <v>47</v>
      </c>
      <c r="D21" s="6" t="n">
        <v>0.05</v>
      </c>
      <c r="E21" s="6" t="n">
        <v>0.1</v>
      </c>
      <c r="F21" s="6" t="n">
        <v>0.15</v>
      </c>
      <c r="G21" s="7" t="s">
        <v>48</v>
      </c>
      <c r="H21" s="2" t="s">
        <v>56</v>
      </c>
      <c r="I21" s="7" t="s">
        <v>50</v>
      </c>
    </row>
    <row r="22" customFormat="false" ht="17.15" hidden="false" customHeight="false" outlineLevel="0" collapsed="false">
      <c r="A22" s="0" t="s">
        <v>77</v>
      </c>
      <c r="B22" s="2" t="s">
        <v>78</v>
      </c>
      <c r="C22" s="0" t="s">
        <v>47</v>
      </c>
      <c r="D22" s="6" t="n">
        <v>0.01</v>
      </c>
      <c r="E22" s="6" t="n">
        <v>0.04</v>
      </c>
      <c r="F22" s="6" t="n">
        <v>0.07</v>
      </c>
      <c r="G22" s="7" t="s">
        <v>48</v>
      </c>
      <c r="H22" s="2" t="s">
        <v>56</v>
      </c>
      <c r="I22" s="7" t="s">
        <v>50</v>
      </c>
    </row>
    <row r="23" customFormat="false" ht="17.15" hidden="false" customHeight="false" outlineLevel="0" collapsed="false">
      <c r="A23" s="0" t="s">
        <v>79</v>
      </c>
      <c r="B23" s="2" t="s">
        <v>80</v>
      </c>
      <c r="C23" s="2" t="s">
        <v>37</v>
      </c>
      <c r="E23" s="6" t="n">
        <v>3000000</v>
      </c>
      <c r="G23" s="7" t="s">
        <v>26</v>
      </c>
      <c r="H23" s="7" t="s">
        <v>81</v>
      </c>
      <c r="I23" s="2" t="s">
        <v>82</v>
      </c>
    </row>
    <row r="24" customFormat="false" ht="17.15" hidden="false" customHeight="false" outlineLevel="0" collapsed="false">
      <c r="A24" s="0" t="s">
        <v>83</v>
      </c>
      <c r="B24" s="2" t="s">
        <v>84</v>
      </c>
      <c r="C24" s="2" t="s">
        <v>37</v>
      </c>
      <c r="E24" s="6" t="n">
        <v>1500000</v>
      </c>
      <c r="G24" s="7" t="s">
        <v>26</v>
      </c>
      <c r="H24" s="7" t="s">
        <v>85</v>
      </c>
      <c r="I24" s="7" t="s">
        <v>50</v>
      </c>
    </row>
    <row r="25" customFormat="false" ht="15" hidden="false" customHeight="false" outlineLevel="0" collapsed="false">
      <c r="A25" s="0" t="s">
        <v>86</v>
      </c>
      <c r="B25" s="2" t="s">
        <v>87</v>
      </c>
      <c r="C25" s="0" t="s">
        <v>47</v>
      </c>
      <c r="D25" s="6" t="n">
        <v>0.75</v>
      </c>
      <c r="E25" s="6" t="n">
        <v>0.85</v>
      </c>
      <c r="F25" s="6" t="n">
        <v>0.95</v>
      </c>
      <c r="G25" s="7" t="s">
        <v>48</v>
      </c>
      <c r="H25" s="2" t="s">
        <v>88</v>
      </c>
      <c r="I25" s="7" t="s">
        <v>50</v>
      </c>
    </row>
    <row r="26" customFormat="false" ht="17.15" hidden="false" customHeight="false" outlineLevel="0" collapsed="false">
      <c r="A26" s="0" t="s">
        <v>89</v>
      </c>
      <c r="B26" s="2" t="s">
        <v>90</v>
      </c>
      <c r="C26" s="0" t="s">
        <v>91</v>
      </c>
      <c r="D26" s="6" t="n">
        <v>400</v>
      </c>
      <c r="E26" s="6" t="n">
        <v>600</v>
      </c>
      <c r="F26" s="6" t="n">
        <v>1000</v>
      </c>
      <c r="G26" s="7" t="s">
        <v>48</v>
      </c>
      <c r="H26" s="7" t="s">
        <v>92</v>
      </c>
      <c r="I26" s="2" t="s">
        <v>93</v>
      </c>
    </row>
    <row r="27" customFormat="false" ht="17.15" hidden="false" customHeight="false" outlineLevel="0" collapsed="false">
      <c r="A27" s="5" t="s">
        <v>94</v>
      </c>
    </row>
    <row r="28" customFormat="false" ht="17.15" hidden="false" customHeight="false" outlineLevel="0" collapsed="false">
      <c r="A28" s="0" t="s">
        <v>95</v>
      </c>
      <c r="B28" s="0" t="s">
        <v>96</v>
      </c>
      <c r="C28" s="0" t="s">
        <v>25</v>
      </c>
      <c r="D28" s="6" t="n">
        <v>27500</v>
      </c>
      <c r="E28" s="6" t="n">
        <v>28263</v>
      </c>
      <c r="F28" s="6" t="n">
        <v>28800</v>
      </c>
      <c r="G28" s="7" t="s">
        <v>26</v>
      </c>
      <c r="H28" s="7" t="s">
        <v>97</v>
      </c>
      <c r="I28" s="7" t="s">
        <v>50</v>
      </c>
    </row>
    <row r="29" customFormat="false" ht="17.15" hidden="false" customHeight="false" outlineLevel="0" collapsed="false">
      <c r="A29" s="0" t="s">
        <v>98</v>
      </c>
      <c r="B29" s="2" t="s">
        <v>99</v>
      </c>
      <c r="C29" s="0" t="s">
        <v>47</v>
      </c>
      <c r="D29" s="6" t="n">
        <v>0</v>
      </c>
      <c r="E29" s="6" t="n">
        <v>0.02</v>
      </c>
      <c r="F29" s="6" t="n">
        <v>0.04</v>
      </c>
      <c r="G29" s="7" t="s">
        <v>48</v>
      </c>
      <c r="H29" s="2" t="s">
        <v>100</v>
      </c>
      <c r="I29" s="2" t="s">
        <v>101</v>
      </c>
    </row>
    <row r="30" customFormat="false" ht="17.15" hidden="false" customHeight="false" outlineLevel="0" collapsed="false">
      <c r="A30" s="0" t="s">
        <v>102</v>
      </c>
      <c r="B30" s="2" t="s">
        <v>103</v>
      </c>
      <c r="C30" s="0" t="s">
        <v>25</v>
      </c>
      <c r="E30" s="0" t="n">
        <f aca="false">Q!K7*1000000/Q!K4</f>
        <v>6183.32743733215</v>
      </c>
      <c r="G30" s="0" t="s">
        <v>38</v>
      </c>
      <c r="H30" s="0" t="s">
        <v>104</v>
      </c>
      <c r="I30" s="0" t="s">
        <v>105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0" t="s">
        <v>25</v>
      </c>
      <c r="D31" s="6" t="n">
        <v>3165</v>
      </c>
      <c r="E31" s="6" t="n">
        <v>3556</v>
      </c>
      <c r="F31" s="6" t="n">
        <v>3600</v>
      </c>
      <c r="G31" s="7" t="s">
        <v>26</v>
      </c>
      <c r="H31" s="7" t="s">
        <v>108</v>
      </c>
      <c r="I31" s="2" t="s">
        <v>109</v>
      </c>
    </row>
    <row r="32" customFormat="false" ht="17.15" hidden="false" customHeight="false" outlineLevel="0" collapsed="false">
      <c r="A32" s="0" t="s">
        <v>110</v>
      </c>
      <c r="B32" s="2" t="s">
        <v>111</v>
      </c>
      <c r="C32" s="0" t="s">
        <v>25</v>
      </c>
      <c r="D32" s="6" t="n">
        <v>3300</v>
      </c>
      <c r="E32" s="6" t="n">
        <v>3600</v>
      </c>
      <c r="F32" s="6" t="n">
        <v>3900</v>
      </c>
      <c r="G32" s="7" t="s">
        <v>48</v>
      </c>
      <c r="H32" s="7" t="s">
        <v>112</v>
      </c>
      <c r="I32" s="7" t="s">
        <v>113</v>
      </c>
    </row>
    <row r="33" customFormat="false" ht="17.15" hidden="false" customHeight="false" outlineLevel="0" collapsed="false">
      <c r="A33" s="0" t="s">
        <v>114</v>
      </c>
      <c r="B33" s="2" t="s">
        <v>115</v>
      </c>
      <c r="C33" s="0" t="s">
        <v>25</v>
      </c>
      <c r="D33" s="6" t="n">
        <v>3400</v>
      </c>
      <c r="E33" s="6" t="n">
        <v>3700</v>
      </c>
      <c r="F33" s="6" t="n">
        <v>4000</v>
      </c>
      <c r="G33" s="7" t="s">
        <v>48</v>
      </c>
      <c r="H33" s="2" t="s">
        <v>56</v>
      </c>
      <c r="I33" s="7" t="s">
        <v>50</v>
      </c>
    </row>
    <row r="34" customFormat="false" ht="17.15" hidden="false" customHeight="false" outlineLevel="0" collapsed="false">
      <c r="A34" s="0" t="s">
        <v>116</v>
      </c>
      <c r="B34" s="2" t="s">
        <v>117</v>
      </c>
      <c r="C34" s="0" t="s">
        <v>25</v>
      </c>
      <c r="D34" s="6" t="n">
        <v>3150</v>
      </c>
      <c r="E34" s="6" t="n">
        <v>3450</v>
      </c>
      <c r="F34" s="6" t="n">
        <v>3750</v>
      </c>
      <c r="G34" s="7" t="s">
        <v>48</v>
      </c>
      <c r="H34" s="7" t="s">
        <v>118</v>
      </c>
      <c r="I34" s="7" t="s">
        <v>113</v>
      </c>
    </row>
    <row r="35" customFormat="false" ht="17.15" hidden="false" customHeight="false" outlineLevel="0" collapsed="false">
      <c r="A35" s="0" t="s">
        <v>119</v>
      </c>
      <c r="B35" s="2" t="s">
        <v>120</v>
      </c>
      <c r="C35" s="0" t="s">
        <v>25</v>
      </c>
      <c r="D35" s="6" t="n">
        <v>3050</v>
      </c>
      <c r="E35" s="6" t="n">
        <v>3350</v>
      </c>
      <c r="F35" s="6" t="n">
        <v>3650</v>
      </c>
      <c r="G35" s="7" t="s">
        <v>48</v>
      </c>
      <c r="H35" s="2" t="s">
        <v>56</v>
      </c>
      <c r="I35" s="7" t="s">
        <v>50</v>
      </c>
    </row>
    <row r="36" customFormat="false" ht="17.15" hidden="false" customHeight="false" outlineLevel="0" collapsed="false">
      <c r="A36" s="0" t="s">
        <v>121</v>
      </c>
      <c r="B36" s="2" t="s">
        <v>122</v>
      </c>
      <c r="C36" s="0" t="s">
        <v>25</v>
      </c>
      <c r="D36" s="6" t="n">
        <v>2400</v>
      </c>
      <c r="E36" s="6" t="n">
        <v>2700</v>
      </c>
      <c r="F36" s="6" t="n">
        <v>3000</v>
      </c>
      <c r="G36" s="7" t="s">
        <v>48</v>
      </c>
      <c r="H36" s="7" t="s">
        <v>123</v>
      </c>
      <c r="I36" s="7" t="s">
        <v>113</v>
      </c>
    </row>
    <row r="37" customFormat="false" ht="17.15" hidden="false" customHeight="false" outlineLevel="0" collapsed="false">
      <c r="A37" s="0" t="s">
        <v>124</v>
      </c>
      <c r="B37" s="2" t="s">
        <v>125</v>
      </c>
      <c r="C37" s="0" t="s">
        <v>25</v>
      </c>
      <c r="D37" s="6" t="n">
        <v>2800</v>
      </c>
      <c r="E37" s="6" t="n">
        <v>3100</v>
      </c>
      <c r="F37" s="6" t="n">
        <v>3400</v>
      </c>
      <c r="G37" s="7" t="s">
        <v>48</v>
      </c>
      <c r="H37" s="2" t="s">
        <v>56</v>
      </c>
      <c r="I37" s="7" t="s">
        <v>50</v>
      </c>
    </row>
    <row r="38" customFormat="false" ht="17.15" hidden="false" customHeight="false" outlineLevel="0" collapsed="false">
      <c r="A38" s="0" t="s">
        <v>126</v>
      </c>
      <c r="B38" s="0" t="s">
        <v>127</v>
      </c>
      <c r="C38" s="0" t="s">
        <v>25</v>
      </c>
      <c r="D38" s="6" t="n">
        <v>650</v>
      </c>
      <c r="E38" s="6" t="n">
        <v>708</v>
      </c>
      <c r="F38" s="6" t="n">
        <v>806</v>
      </c>
      <c r="G38" s="7" t="s">
        <v>26</v>
      </c>
      <c r="H38" s="7" t="s">
        <v>128</v>
      </c>
      <c r="I38" s="2" t="s">
        <v>129</v>
      </c>
    </row>
    <row r="39" customFormat="false" ht="17.15" hidden="false" customHeight="false" outlineLevel="0" collapsed="false">
      <c r="A39" s="0" t="s">
        <v>130</v>
      </c>
      <c r="B39" s="2" t="s">
        <v>131</v>
      </c>
      <c r="C39" s="0" t="s">
        <v>25</v>
      </c>
      <c r="D39" s="6" t="n">
        <v>550</v>
      </c>
      <c r="E39" s="6" t="n">
        <v>650</v>
      </c>
      <c r="F39" s="6" t="n">
        <v>750</v>
      </c>
      <c r="G39" s="7" t="s">
        <v>48</v>
      </c>
      <c r="H39" s="2" t="s">
        <v>132</v>
      </c>
      <c r="I39" s="2" t="s">
        <v>133</v>
      </c>
    </row>
    <row r="40" customFormat="false" ht="17.15" hidden="false" customHeight="false" outlineLevel="0" collapsed="false">
      <c r="A40" s="0" t="s">
        <v>134</v>
      </c>
      <c r="B40" s="2" t="s">
        <v>135</v>
      </c>
      <c r="C40" s="0" t="s">
        <v>25</v>
      </c>
      <c r="E40" s="0" t="n">
        <f aca="false">Q!J16*1000000/Q!J4</f>
        <v>23837.8912988477</v>
      </c>
      <c r="G40" s="0" t="s">
        <v>38</v>
      </c>
      <c r="H40" s="0" t="s">
        <v>136</v>
      </c>
      <c r="I40" s="0" t="s">
        <v>137</v>
      </c>
    </row>
    <row r="41" customFormat="false" ht="17.15" hidden="false" customHeight="false" outlineLevel="0" collapsed="false">
      <c r="A41" s="0" t="s">
        <v>138</v>
      </c>
      <c r="B41" s="0" t="s">
        <v>139</v>
      </c>
      <c r="C41" s="0" t="s">
        <v>47</v>
      </c>
      <c r="D41" s="6" t="n">
        <v>0.065</v>
      </c>
      <c r="E41" s="7" t="n">
        <f aca="false">Q!J17/Q!J16</f>
        <v>0.0735237360092628</v>
      </c>
      <c r="F41" s="6" t="n">
        <v>0.08</v>
      </c>
      <c r="G41" s="7" t="s">
        <v>38</v>
      </c>
      <c r="H41" s="7" t="s">
        <v>140</v>
      </c>
      <c r="I41" s="7" t="s">
        <v>141</v>
      </c>
    </row>
    <row r="42" customFormat="false" ht="17.15" hidden="false" customHeight="false" outlineLevel="0" collapsed="false">
      <c r="A42" s="0" t="s">
        <v>142</v>
      </c>
      <c r="B42" s="2" t="s">
        <v>143</v>
      </c>
      <c r="C42" s="0" t="s">
        <v>47</v>
      </c>
      <c r="D42" s="6" t="n">
        <v>0.07</v>
      </c>
      <c r="E42" s="6" t="n">
        <v>0.08</v>
      </c>
      <c r="F42" s="6" t="n">
        <v>0.09</v>
      </c>
      <c r="G42" s="7" t="s">
        <v>48</v>
      </c>
      <c r="H42" s="7" t="s">
        <v>144</v>
      </c>
      <c r="I42" s="7" t="s">
        <v>113</v>
      </c>
    </row>
    <row r="43" customFormat="false" ht="17.15" hidden="false" customHeight="false" outlineLevel="0" collapsed="false">
      <c r="A43" s="0" t="s">
        <v>145</v>
      </c>
      <c r="B43" s="2" t="s">
        <v>146</v>
      </c>
      <c r="C43" s="0" t="s">
        <v>47</v>
      </c>
      <c r="D43" s="6" t="n">
        <v>0.07</v>
      </c>
      <c r="E43" s="6" t="n">
        <v>0.08</v>
      </c>
      <c r="F43" s="6" t="n">
        <v>0.09</v>
      </c>
      <c r="G43" s="7" t="s">
        <v>48</v>
      </c>
      <c r="H43" s="2" t="s">
        <v>56</v>
      </c>
      <c r="I43" s="7" t="s">
        <v>50</v>
      </c>
    </row>
    <row r="44" customFormat="false" ht="17.15" hidden="false" customHeight="false" outlineLevel="0" collapsed="false">
      <c r="A44" s="0" t="s">
        <v>147</v>
      </c>
      <c r="B44" s="2" t="s">
        <v>148</v>
      </c>
      <c r="C44" s="0" t="s">
        <v>47</v>
      </c>
      <c r="D44" s="6" t="n">
        <v>0.062</v>
      </c>
      <c r="E44" s="6" t="n">
        <v>0.072</v>
      </c>
      <c r="F44" s="6" t="n">
        <v>0.082</v>
      </c>
      <c r="G44" s="7" t="s">
        <v>48</v>
      </c>
      <c r="H44" s="7" t="s">
        <v>144</v>
      </c>
      <c r="I44" s="7" t="s">
        <v>113</v>
      </c>
    </row>
    <row r="45" customFormat="false" ht="17.15" hidden="false" customHeight="false" outlineLevel="0" collapsed="false">
      <c r="A45" s="0" t="s">
        <v>149</v>
      </c>
      <c r="B45" s="2" t="s">
        <v>150</v>
      </c>
      <c r="C45" s="0" t="s">
        <v>47</v>
      </c>
      <c r="D45" s="6" t="n">
        <v>0.06</v>
      </c>
      <c r="E45" s="6" t="n">
        <v>0.07</v>
      </c>
      <c r="F45" s="6" t="n">
        <v>0.08</v>
      </c>
      <c r="G45" s="7" t="s">
        <v>48</v>
      </c>
      <c r="H45" s="2" t="s">
        <v>56</v>
      </c>
      <c r="I45" s="7" t="s">
        <v>50</v>
      </c>
    </row>
    <row r="46" customFormat="false" ht="17.15" hidden="false" customHeight="false" outlineLevel="0" collapsed="false">
      <c r="A46" s="0" t="s">
        <v>151</v>
      </c>
      <c r="B46" s="2" t="s">
        <v>152</v>
      </c>
      <c r="C46" s="0" t="s">
        <v>47</v>
      </c>
      <c r="E46" s="0" t="n">
        <f aca="false">gos27_B-loss_pt*dcnl_C-dur*dspr_C</f>
        <v>0.034</v>
      </c>
      <c r="G46" s="0" t="s">
        <v>38</v>
      </c>
      <c r="H46" s="2" t="s">
        <v>153</v>
      </c>
      <c r="I46" s="0" t="s">
        <v>50</v>
      </c>
    </row>
    <row r="47" customFormat="false" ht="17.15" hidden="false" customHeight="false" outlineLevel="0" collapsed="false">
      <c r="A47" s="0" t="s">
        <v>154</v>
      </c>
      <c r="B47" s="2" t="s">
        <v>155</v>
      </c>
      <c r="C47" s="0" t="s">
        <v>47</v>
      </c>
      <c r="D47" s="6" t="n">
        <v>0.05</v>
      </c>
      <c r="E47" s="6" t="n">
        <v>0.06</v>
      </c>
      <c r="F47" s="6" t="n">
        <v>0.07</v>
      </c>
      <c r="G47" s="7" t="s">
        <v>48</v>
      </c>
      <c r="H47" s="2" t="s">
        <v>156</v>
      </c>
      <c r="I47" s="7" t="s">
        <v>50</v>
      </c>
    </row>
    <row r="48" customFormat="false" ht="17.15" hidden="false" customHeight="false" outlineLevel="0" collapsed="false">
      <c r="A48" s="0" t="s">
        <v>157</v>
      </c>
      <c r="B48" s="2" t="s">
        <v>158</v>
      </c>
      <c r="C48" s="0" t="s">
        <v>25</v>
      </c>
      <c r="E48" s="0" t="n">
        <f aca="false">(Q!J8-Q!J17)*1000000/Q!J4</f>
        <v>979.828415024036</v>
      </c>
      <c r="G48" s="0" t="s">
        <v>38</v>
      </c>
      <c r="H48" s="0" t="s">
        <v>159</v>
      </c>
      <c r="I48" s="0" t="s">
        <v>160</v>
      </c>
    </row>
    <row r="49" customFormat="false" ht="15" hidden="false" customHeight="false" outlineLevel="0" collapsed="false">
      <c r="A49" s="0" t="s">
        <v>161</v>
      </c>
      <c r="B49" s="2" t="s">
        <v>162</v>
      </c>
      <c r="C49" s="0" t="s">
        <v>47</v>
      </c>
      <c r="D49" s="6" t="n">
        <v>-0.03</v>
      </c>
      <c r="E49" s="6" t="n">
        <v>0</v>
      </c>
      <c r="F49" s="6" t="n">
        <v>0.03</v>
      </c>
      <c r="G49" s="7" t="s">
        <v>48</v>
      </c>
      <c r="H49" s="7" t="s">
        <v>50</v>
      </c>
      <c r="I49" s="7" t="s">
        <v>50</v>
      </c>
    </row>
    <row r="50" customFormat="false" ht="17.15" hidden="false" customHeight="false" outlineLevel="0" collapsed="false">
      <c r="A50" s="5" t="s">
        <v>163</v>
      </c>
    </row>
    <row r="51" customFormat="false" ht="17.15" hidden="false" customHeight="false" outlineLevel="0" collapsed="false">
      <c r="A51" s="0" t="s">
        <v>164</v>
      </c>
      <c r="B51" s="0" t="s">
        <v>165</v>
      </c>
      <c r="C51" s="0" t="s">
        <v>166</v>
      </c>
      <c r="D51" s="6" t="n">
        <v>140</v>
      </c>
      <c r="E51" s="6" t="n">
        <v>170</v>
      </c>
      <c r="F51" s="6" t="n">
        <v>200</v>
      </c>
      <c r="G51" s="7" t="s">
        <v>38</v>
      </c>
      <c r="H51" s="2" t="s">
        <v>167</v>
      </c>
      <c r="I51" s="7" t="s">
        <v>168</v>
      </c>
    </row>
    <row r="52" customFormat="false" ht="17.15" hidden="false" customHeight="false" outlineLevel="0" collapsed="false">
      <c r="A52" s="0" t="s">
        <v>169</v>
      </c>
      <c r="B52" s="0" t="s">
        <v>170</v>
      </c>
      <c r="C52" s="0" t="s">
        <v>25</v>
      </c>
      <c r="D52" s="6" t="n">
        <v>2700</v>
      </c>
      <c r="E52" s="6" t="n">
        <v>2800</v>
      </c>
      <c r="F52" s="6" t="n">
        <v>2900</v>
      </c>
      <c r="G52" s="7" t="s">
        <v>38</v>
      </c>
      <c r="H52" s="2" t="s">
        <v>171</v>
      </c>
      <c r="I52" s="7" t="s">
        <v>172</v>
      </c>
    </row>
    <row r="53" customFormat="false" ht="17.15" hidden="false" customHeight="false" outlineLevel="0" collapsed="false">
      <c r="A53" s="0" t="s">
        <v>173</v>
      </c>
      <c r="B53" s="2" t="s">
        <v>174</v>
      </c>
      <c r="C53" s="0" t="s">
        <v>47</v>
      </c>
      <c r="D53" s="6" t="n">
        <v>0.02</v>
      </c>
      <c r="E53" s="6" t="n">
        <v>0.03</v>
      </c>
      <c r="F53" s="6" t="n">
        <v>0.04</v>
      </c>
      <c r="G53" s="7" t="s">
        <v>48</v>
      </c>
      <c r="H53" s="7" t="s">
        <v>50</v>
      </c>
      <c r="I53" s="7" t="s">
        <v>50</v>
      </c>
    </row>
    <row r="54" customFormat="false" ht="17.15" hidden="false" customHeight="false" outlineLevel="0" collapsed="false">
      <c r="A54" s="0" t="s">
        <v>175</v>
      </c>
      <c r="B54" s="2" t="s">
        <v>176</v>
      </c>
      <c r="C54" s="0" t="s">
        <v>47</v>
      </c>
      <c r="D54" s="6" t="n">
        <v>0.015</v>
      </c>
      <c r="E54" s="6" t="n">
        <v>0.03</v>
      </c>
      <c r="F54" s="6" t="n">
        <v>0.045</v>
      </c>
      <c r="G54" s="7" t="s">
        <v>48</v>
      </c>
      <c r="H54" s="2" t="s">
        <v>177</v>
      </c>
      <c r="I54" s="7" t="s">
        <v>50</v>
      </c>
    </row>
    <row r="55" customFormat="false" ht="17.15" hidden="false" customHeight="false" outlineLevel="0" collapsed="false">
      <c r="A55" s="0" t="s">
        <v>178</v>
      </c>
      <c r="B55" s="2" t="s">
        <v>179</v>
      </c>
      <c r="C55" s="0" t="s">
        <v>47</v>
      </c>
      <c r="D55" s="6" t="n">
        <v>0</v>
      </c>
      <c r="E55" s="6" t="n">
        <v>0.015</v>
      </c>
      <c r="F55" s="6" t="n">
        <v>0.03</v>
      </c>
      <c r="G55" s="7" t="s">
        <v>48</v>
      </c>
      <c r="H55" s="2" t="s">
        <v>177</v>
      </c>
      <c r="I55" s="7" t="s">
        <v>50</v>
      </c>
    </row>
    <row r="56" customFormat="false" ht="17.15" hidden="false" customHeight="false" outlineLevel="0" collapsed="false">
      <c r="A56" s="0" t="s">
        <v>180</v>
      </c>
      <c r="B56" s="2" t="s">
        <v>181</v>
      </c>
      <c r="C56" s="0" t="s">
        <v>47</v>
      </c>
      <c r="D56" s="6" t="n">
        <v>0</v>
      </c>
      <c r="E56" s="6" t="n">
        <v>0</v>
      </c>
      <c r="F56" s="6" t="n">
        <v>0.015</v>
      </c>
      <c r="G56" s="7" t="s">
        <v>48</v>
      </c>
      <c r="H56" s="2" t="s">
        <v>177</v>
      </c>
      <c r="I56" s="7" t="s">
        <v>50</v>
      </c>
    </row>
    <row r="57" customFormat="false" ht="17.15" hidden="false" customHeight="false" outlineLevel="0" collapsed="false">
      <c r="A57" s="0" t="s">
        <v>182</v>
      </c>
      <c r="B57" s="0" t="s">
        <v>183</v>
      </c>
      <c r="C57" s="0" t="s">
        <v>166</v>
      </c>
      <c r="E57" s="0" t="n">
        <f aca="false">Q!J14</f>
        <v>64</v>
      </c>
      <c r="G57" s="0" t="s">
        <v>38</v>
      </c>
      <c r="H57" s="2" t="s">
        <v>184</v>
      </c>
      <c r="I57" s="0" t="s">
        <v>185</v>
      </c>
    </row>
    <row r="58" customFormat="false" ht="15" hidden="false" customHeight="false" outlineLevel="0" collapsed="false">
      <c r="A58" s="0" t="s">
        <v>186</v>
      </c>
      <c r="B58" s="2" t="s">
        <v>187</v>
      </c>
      <c r="C58" s="2" t="s">
        <v>188</v>
      </c>
      <c r="D58" s="6" t="n">
        <v>10</v>
      </c>
      <c r="E58" s="6" t="n">
        <v>15</v>
      </c>
      <c r="F58" s="6" t="n">
        <v>20</v>
      </c>
      <c r="G58" s="7" t="s">
        <v>48</v>
      </c>
      <c r="H58" s="2" t="s">
        <v>189</v>
      </c>
      <c r="I58" s="7" t="s">
        <v>50</v>
      </c>
    </row>
    <row r="59" customFormat="false" ht="17.15" hidden="false" customHeight="false" outlineLevel="0" collapsed="false">
      <c r="A59" s="0" t="s">
        <v>190</v>
      </c>
      <c r="B59" s="0" t="s">
        <v>191</v>
      </c>
      <c r="C59" s="0" t="s">
        <v>166</v>
      </c>
      <c r="E59" s="0" t="n">
        <f aca="false">Q!J15</f>
        <v>25</v>
      </c>
      <c r="G59" s="0" t="s">
        <v>38</v>
      </c>
      <c r="H59" s="2" t="s">
        <v>192</v>
      </c>
      <c r="I59" s="0" t="s">
        <v>50</v>
      </c>
    </row>
    <row r="60" customFormat="false" ht="17.15" hidden="false" customHeight="false" outlineLevel="0" collapsed="false">
      <c r="A60" s="0" t="s">
        <v>193</v>
      </c>
      <c r="B60" s="2" t="s">
        <v>194</v>
      </c>
      <c r="C60" s="0" t="s">
        <v>195</v>
      </c>
      <c r="E60" s="6" t="n">
        <v>21</v>
      </c>
      <c r="G60" s="7" t="s">
        <v>26</v>
      </c>
      <c r="H60" s="7" t="s">
        <v>196</v>
      </c>
      <c r="I60" s="7" t="s">
        <v>50</v>
      </c>
    </row>
    <row r="61" customFormat="false" ht="17.15" hidden="false" customHeight="false" outlineLevel="0" collapsed="false">
      <c r="A61" s="0" t="s">
        <v>197</v>
      </c>
      <c r="B61" s="0" t="s">
        <v>198</v>
      </c>
      <c r="C61" s="0" t="s">
        <v>166</v>
      </c>
      <c r="D61" s="6" t="n">
        <v>60</v>
      </c>
      <c r="E61" s="6" t="n">
        <v>70</v>
      </c>
      <c r="F61" s="6" t="n">
        <v>100</v>
      </c>
      <c r="G61" s="7" t="s">
        <v>48</v>
      </c>
      <c r="H61" s="7" t="s">
        <v>199</v>
      </c>
      <c r="I61" s="7" t="s">
        <v>50</v>
      </c>
    </row>
    <row r="62" customFormat="false" ht="17.15" hidden="false" customHeight="false" outlineLevel="0" collapsed="false">
      <c r="A62" s="0" t="s">
        <v>200</v>
      </c>
      <c r="B62" s="2" t="s">
        <v>201</v>
      </c>
      <c r="C62" s="0" t="s">
        <v>47</v>
      </c>
      <c r="D62" s="6" t="n">
        <v>0.003</v>
      </c>
      <c r="E62" s="6" t="n">
        <v>0.005</v>
      </c>
      <c r="F62" s="6" t="n">
        <v>0.008</v>
      </c>
      <c r="G62" s="7" t="s">
        <v>48</v>
      </c>
      <c r="H62" s="7" t="s">
        <v>202</v>
      </c>
      <c r="I62" s="7" t="s">
        <v>50</v>
      </c>
    </row>
    <row r="63" customFormat="false" ht="17.15" hidden="false" customHeight="false" outlineLevel="0" collapsed="false">
      <c r="A63" s="5" t="s">
        <v>203</v>
      </c>
    </row>
    <row r="64" customFormat="false" ht="17.15" hidden="false" customHeight="false" outlineLevel="0" collapsed="false">
      <c r="A64" s="0" t="s">
        <v>204</v>
      </c>
      <c r="B64" s="2" t="s">
        <v>205</v>
      </c>
      <c r="C64" s="2" t="s">
        <v>206</v>
      </c>
      <c r="D64" s="6" t="n">
        <v>55</v>
      </c>
      <c r="E64" s="6" t="n">
        <v>60</v>
      </c>
      <c r="F64" s="6" t="n">
        <v>65</v>
      </c>
      <c r="G64" s="7" t="s">
        <v>38</v>
      </c>
      <c r="H64" s="7" t="s">
        <v>207</v>
      </c>
      <c r="I64" s="7" t="s">
        <v>50</v>
      </c>
    </row>
    <row r="65" customFormat="false" ht="17.15" hidden="false" customHeight="false" outlineLevel="0" collapsed="false">
      <c r="A65" s="0" t="s">
        <v>208</v>
      </c>
      <c r="B65" s="2" t="s">
        <v>209</v>
      </c>
      <c r="C65" s="2" t="s">
        <v>206</v>
      </c>
      <c r="D65" s="6" t="n">
        <v>65</v>
      </c>
      <c r="E65" s="6" t="n">
        <v>70</v>
      </c>
      <c r="F65" s="6" t="n">
        <v>80</v>
      </c>
      <c r="G65" s="7" t="s">
        <v>48</v>
      </c>
      <c r="H65" s="2" t="s">
        <v>210</v>
      </c>
      <c r="I65" s="7" t="s">
        <v>211</v>
      </c>
    </row>
    <row r="66" customFormat="false" ht="17.15" hidden="false" customHeight="false" outlineLevel="0" collapsed="false">
      <c r="A66" s="0" t="s">
        <v>212</v>
      </c>
      <c r="B66" s="2" t="s">
        <v>213</v>
      </c>
      <c r="C66" s="2" t="s">
        <v>206</v>
      </c>
      <c r="D66" s="6" t="n">
        <v>60</v>
      </c>
      <c r="E66" s="6" t="n">
        <v>65</v>
      </c>
      <c r="F66" s="6" t="n">
        <v>70</v>
      </c>
      <c r="G66" s="7" t="s">
        <v>48</v>
      </c>
      <c r="H66" s="2" t="s">
        <v>214</v>
      </c>
      <c r="I66" s="7" t="s">
        <v>50</v>
      </c>
    </row>
    <row r="67" customFormat="false" ht="17.15" hidden="false" customHeight="false" outlineLevel="0" collapsed="false">
      <c r="A67" s="0" t="s">
        <v>215</v>
      </c>
      <c r="B67" s="2" t="s">
        <v>216</v>
      </c>
      <c r="C67" s="2" t="s">
        <v>206</v>
      </c>
      <c r="D67" s="6" t="n">
        <v>14</v>
      </c>
      <c r="E67" s="6" t="n">
        <v>16</v>
      </c>
      <c r="F67" s="6" t="n">
        <v>20</v>
      </c>
      <c r="G67" s="7" t="s">
        <v>38</v>
      </c>
      <c r="H67" s="7" t="s">
        <v>217</v>
      </c>
      <c r="I67" s="7" t="s">
        <v>218</v>
      </c>
    </row>
    <row r="68" customFormat="false" ht="17.15" hidden="false" customHeight="false" outlineLevel="0" collapsed="false">
      <c r="A68" s="0" t="s">
        <v>219</v>
      </c>
      <c r="B68" s="2" t="s">
        <v>220</v>
      </c>
      <c r="C68" s="0" t="s">
        <v>47</v>
      </c>
      <c r="E68" s="6" t="n">
        <v>0.054</v>
      </c>
      <c r="G68" s="7" t="s">
        <v>38</v>
      </c>
      <c r="H68" s="7" t="s">
        <v>221</v>
      </c>
      <c r="I68" s="7" t="s">
        <v>50</v>
      </c>
    </row>
    <row r="69" customFormat="false" ht="17.15" hidden="false" customHeight="false" outlineLevel="0" collapsed="false">
      <c r="A69" s="0" t="s">
        <v>222</v>
      </c>
      <c r="B69" s="2" t="s">
        <v>223</v>
      </c>
      <c r="C69" s="0" t="s">
        <v>47</v>
      </c>
      <c r="E69" s="0" t="n">
        <f aca="false">3.7/(5.7+3.7+4.5)</f>
        <v>0.266187050359712</v>
      </c>
      <c r="G69" s="0" t="s">
        <v>38</v>
      </c>
      <c r="H69" s="0" t="s">
        <v>224</v>
      </c>
      <c r="I69" s="0" t="s">
        <v>50</v>
      </c>
    </row>
    <row r="70" customFormat="false" ht="17.15" hidden="false" customHeight="false" outlineLevel="0" collapsed="false">
      <c r="A70" s="0" t="s">
        <v>225</v>
      </c>
      <c r="B70" s="2" t="s">
        <v>226</v>
      </c>
      <c r="C70" s="0" t="s">
        <v>47</v>
      </c>
      <c r="E70" s="6" t="n">
        <v>0.05</v>
      </c>
      <c r="G70" s="7" t="s">
        <v>227</v>
      </c>
      <c r="H70" s="7" t="s">
        <v>228</v>
      </c>
      <c r="I70" s="7" t="s">
        <v>50</v>
      </c>
    </row>
    <row r="71" customFormat="false" ht="17.15" hidden="false" customHeight="false" outlineLevel="0" collapsed="false">
      <c r="A71" s="0" t="s">
        <v>229</v>
      </c>
      <c r="B71" s="2" t="s">
        <v>230</v>
      </c>
      <c r="C71" s="0" t="s">
        <v>47</v>
      </c>
      <c r="E71" s="0" t="n">
        <f aca="false">427/557</f>
        <v>0.766606822262119</v>
      </c>
      <c r="G71" s="0" t="s">
        <v>38</v>
      </c>
      <c r="H71" s="0" t="s">
        <v>231</v>
      </c>
      <c r="I71" s="2" t="s">
        <v>232</v>
      </c>
    </row>
    <row r="72" customFormat="false" ht="17.15" hidden="false" customHeight="false" outlineLevel="0" collapsed="false">
      <c r="A72" s="5" t="s">
        <v>233</v>
      </c>
    </row>
    <row r="73" customFormat="false" ht="17.15" hidden="false" customHeight="false" outlineLevel="0" collapsed="false">
      <c r="A73" s="0" t="s">
        <v>234</v>
      </c>
      <c r="B73" s="0" t="s">
        <v>235</v>
      </c>
      <c r="C73" s="0" t="s">
        <v>47</v>
      </c>
      <c r="E73" s="0" t="n">
        <f aca="false">Q!K22/(Q!K13-Q!K20-Q!K21)</f>
        <v>0.108778625954198</v>
      </c>
      <c r="G73" s="0" t="s">
        <v>38</v>
      </c>
      <c r="H73" s="0" t="s">
        <v>236</v>
      </c>
      <c r="I73" s="0" t="s">
        <v>50</v>
      </c>
    </row>
    <row r="74" customFormat="false" ht="17.15" hidden="false" customHeight="false" outlineLevel="0" collapsed="false">
      <c r="A74" s="0" t="s">
        <v>237</v>
      </c>
      <c r="B74" s="0" t="s">
        <v>238</v>
      </c>
      <c r="C74" s="0" t="s">
        <v>47</v>
      </c>
      <c r="D74" s="6" t="n">
        <v>0.08</v>
      </c>
      <c r="E74" s="6" t="n">
        <v>0.12</v>
      </c>
      <c r="F74" s="6" t="n">
        <v>0.16</v>
      </c>
      <c r="G74" s="7" t="s">
        <v>48</v>
      </c>
      <c r="H74" s="2" t="s">
        <v>239</v>
      </c>
      <c r="I74" s="7" t="s">
        <v>240</v>
      </c>
    </row>
    <row r="75" customFormat="false" ht="17.15" hidden="false" customHeight="false" outlineLevel="0" collapsed="false">
      <c r="A75" s="0" t="s">
        <v>241</v>
      </c>
      <c r="B75" s="0" t="s">
        <v>242</v>
      </c>
      <c r="C75" s="0" t="s">
        <v>47</v>
      </c>
      <c r="D75" s="6" t="n">
        <v>0.12</v>
      </c>
      <c r="E75" s="6" t="n">
        <v>0.18</v>
      </c>
      <c r="F75" s="6" t="n">
        <v>0.25</v>
      </c>
      <c r="G75" s="7" t="s">
        <v>48</v>
      </c>
      <c r="H75" s="2" t="s">
        <v>56</v>
      </c>
      <c r="I75" s="7" t="s">
        <v>50</v>
      </c>
    </row>
    <row r="76" customFormat="false" ht="17.15" hidden="false" customHeight="false" outlineLevel="0" collapsed="false">
      <c r="A76" s="0" t="s">
        <v>243</v>
      </c>
      <c r="B76" s="2" t="s">
        <v>244</v>
      </c>
      <c r="C76" s="0" t="s">
        <v>47</v>
      </c>
      <c r="D76" s="6" t="n">
        <v>0</v>
      </c>
      <c r="E76" s="6" t="n">
        <v>0.03</v>
      </c>
      <c r="F76" s="6" t="n">
        <v>0.08</v>
      </c>
      <c r="G76" s="7" t="s">
        <v>48</v>
      </c>
      <c r="H76" s="2" t="s">
        <v>245</v>
      </c>
      <c r="I76" s="7" t="s">
        <v>246</v>
      </c>
    </row>
    <row r="77" customFormat="false" ht="17.15" hidden="false" customHeight="false" outlineLevel="0" collapsed="false">
      <c r="A77" s="0" t="s">
        <v>247</v>
      </c>
      <c r="B77" s="0" t="s">
        <v>248</v>
      </c>
      <c r="C77" s="0" t="s">
        <v>166</v>
      </c>
      <c r="E77" s="6" t="n">
        <v>2130</v>
      </c>
      <c r="G77" s="7" t="s">
        <v>26</v>
      </c>
      <c r="H77" s="7" t="s">
        <v>249</v>
      </c>
      <c r="I77" s="7" t="s">
        <v>250</v>
      </c>
    </row>
    <row r="78" customFormat="false" ht="17.15" hidden="false" customHeight="false" outlineLevel="0" collapsed="false">
      <c r="A78" s="0" t="s">
        <v>251</v>
      </c>
      <c r="B78" s="0" t="s">
        <v>252</v>
      </c>
      <c r="C78" s="0" t="s">
        <v>166</v>
      </c>
      <c r="D78" s="6" t="n">
        <v>0</v>
      </c>
      <c r="E78" s="6" t="n">
        <v>0</v>
      </c>
      <c r="F78" s="6" t="n">
        <v>40</v>
      </c>
      <c r="G78" s="7" t="s">
        <v>38</v>
      </c>
      <c r="H78" s="7" t="s">
        <v>253</v>
      </c>
      <c r="I78" s="7" t="s">
        <v>50</v>
      </c>
    </row>
    <row r="79" customFormat="false" ht="17.15" hidden="false" customHeight="false" outlineLevel="0" collapsed="false">
      <c r="A79" s="0" t="s">
        <v>254</v>
      </c>
      <c r="B79" s="0" t="s">
        <v>255</v>
      </c>
      <c r="C79" s="2" t="s">
        <v>188</v>
      </c>
      <c r="D79" s="6" t="n">
        <v>10</v>
      </c>
      <c r="E79" s="6" t="n">
        <v>15</v>
      </c>
      <c r="F79" s="6" t="n">
        <v>20</v>
      </c>
      <c r="G79" s="7" t="s">
        <v>48</v>
      </c>
      <c r="H79" s="2" t="s">
        <v>256</v>
      </c>
      <c r="I79" s="2" t="s">
        <v>257</v>
      </c>
    </row>
    <row r="80" customFormat="false" ht="17.15" hidden="false" customHeight="false" outlineLevel="0" collapsed="false">
      <c r="A80" s="0" t="s">
        <v>258</v>
      </c>
      <c r="B80" s="2" t="s">
        <v>259</v>
      </c>
      <c r="C80" s="0" t="s">
        <v>195</v>
      </c>
      <c r="E80" s="6" t="n">
        <v>8</v>
      </c>
      <c r="G80" s="7" t="s">
        <v>38</v>
      </c>
      <c r="H80" s="7" t="s">
        <v>260</v>
      </c>
      <c r="I80" s="7" t="s">
        <v>50</v>
      </c>
    </row>
    <row r="81" customFormat="false" ht="17.15" hidden="false" customHeight="false" outlineLevel="0" collapsed="false">
      <c r="A81" s="5" t="s">
        <v>261</v>
      </c>
    </row>
    <row r="82" customFormat="false" ht="17.15" hidden="false" customHeight="false" outlineLevel="0" collapsed="false">
      <c r="A82" s="0" t="s">
        <v>262</v>
      </c>
      <c r="B82" s="0" t="s">
        <v>263</v>
      </c>
      <c r="C82" s="0" t="s">
        <v>47</v>
      </c>
      <c r="E82" s="6" t="n">
        <v>0.0393</v>
      </c>
      <c r="G82" s="7" t="s">
        <v>227</v>
      </c>
      <c r="H82" s="7" t="s">
        <v>264</v>
      </c>
      <c r="I82" s="2" t="s">
        <v>265</v>
      </c>
    </row>
    <row r="83" customFormat="false" ht="17.15" hidden="false" customHeight="false" outlineLevel="0" collapsed="false">
      <c r="A83" s="0" t="s">
        <v>266</v>
      </c>
      <c r="B83" s="2" t="s">
        <v>267</v>
      </c>
      <c r="C83" s="0" t="s">
        <v>166</v>
      </c>
      <c r="E83" s="6" t="n">
        <v>1660</v>
      </c>
      <c r="G83" s="7" t="s">
        <v>26</v>
      </c>
      <c r="H83" s="7" t="s">
        <v>268</v>
      </c>
      <c r="I83" s="2" t="s">
        <v>269</v>
      </c>
    </row>
    <row r="84" customFormat="false" ht="17.15" hidden="false" customHeight="false" outlineLevel="0" collapsed="false">
      <c r="A84" s="0" t="s">
        <v>270</v>
      </c>
      <c r="B84" s="2" t="s">
        <v>271</v>
      </c>
      <c r="C84" s="0" t="s">
        <v>47</v>
      </c>
      <c r="E84" s="6" t="n">
        <v>0.04055</v>
      </c>
      <c r="G84" s="7" t="s">
        <v>26</v>
      </c>
      <c r="H84" s="7" t="s">
        <v>272</v>
      </c>
      <c r="I84" s="2" t="s">
        <v>273</v>
      </c>
    </row>
    <row r="85" customFormat="false" ht="17.15" hidden="false" customHeight="false" outlineLevel="0" collapsed="false">
      <c r="A85" s="0" t="s">
        <v>274</v>
      </c>
      <c r="B85" s="2" t="s">
        <v>275</v>
      </c>
      <c r="C85" s="0" t="s">
        <v>47</v>
      </c>
      <c r="E85" s="6" t="n">
        <v>0.0225</v>
      </c>
      <c r="G85" s="7" t="s">
        <v>26</v>
      </c>
      <c r="H85" s="2" t="s">
        <v>276</v>
      </c>
      <c r="I85" s="2" t="s">
        <v>277</v>
      </c>
    </row>
    <row r="86" customFormat="false" ht="17.15" hidden="false" customHeight="false" outlineLevel="0" collapsed="false">
      <c r="A86" s="0" t="s">
        <v>278</v>
      </c>
      <c r="B86" s="0" t="s">
        <v>279</v>
      </c>
      <c r="C86" s="0" t="s">
        <v>166</v>
      </c>
      <c r="E86" s="6" t="n">
        <v>2269</v>
      </c>
      <c r="G86" s="7" t="s">
        <v>26</v>
      </c>
      <c r="H86" s="7" t="s">
        <v>280</v>
      </c>
      <c r="I86" s="7" t="s">
        <v>281</v>
      </c>
    </row>
    <row r="87" customFormat="false" ht="17.15" hidden="false" customHeight="false" outlineLevel="0" collapsed="false">
      <c r="A87" s="0" t="s">
        <v>282</v>
      </c>
      <c r="B87" s="2" t="s">
        <v>283</v>
      </c>
      <c r="C87" s="0" t="s">
        <v>47</v>
      </c>
      <c r="E87" s="6" t="n">
        <v>0.09</v>
      </c>
      <c r="G87" s="7" t="s">
        <v>26</v>
      </c>
      <c r="H87" s="7" t="s">
        <v>284</v>
      </c>
      <c r="I87" s="7" t="s">
        <v>50</v>
      </c>
    </row>
    <row r="88" customFormat="false" ht="17.15" hidden="false" customHeight="false" outlineLevel="0" collapsed="false">
      <c r="A88" s="0" t="s">
        <v>285</v>
      </c>
      <c r="B88" s="2" t="s">
        <v>286</v>
      </c>
      <c r="C88" s="2" t="s">
        <v>188</v>
      </c>
      <c r="E88" s="6" t="n">
        <v>2028</v>
      </c>
      <c r="G88" s="7" t="s">
        <v>48</v>
      </c>
      <c r="H88" s="7" t="s">
        <v>287</v>
      </c>
      <c r="I88" s="2" t="s">
        <v>288</v>
      </c>
    </row>
    <row r="89" customFormat="false" ht="17.15" hidden="false" customHeight="false" outlineLevel="0" collapsed="false">
      <c r="A89" s="0" t="s">
        <v>289</v>
      </c>
      <c r="B89" s="2" t="s">
        <v>290</v>
      </c>
      <c r="C89" s="0" t="s">
        <v>47</v>
      </c>
      <c r="D89" s="6" t="n">
        <v>0.0225</v>
      </c>
      <c r="E89" s="6" t="n">
        <v>0.0275</v>
      </c>
      <c r="F89" s="6" t="n">
        <v>0.035</v>
      </c>
      <c r="G89" s="7" t="s">
        <v>48</v>
      </c>
      <c r="H89" s="2" t="s">
        <v>291</v>
      </c>
      <c r="I89" s="7" t="s">
        <v>50</v>
      </c>
    </row>
    <row r="90" customFormat="false" ht="17.15" hidden="false" customHeight="false" outlineLevel="0" collapsed="false">
      <c r="A90" s="0" t="s">
        <v>292</v>
      </c>
      <c r="B90" s="0" t="s">
        <v>293</v>
      </c>
      <c r="C90" s="0" t="s">
        <v>47</v>
      </c>
      <c r="D90" s="6" t="n">
        <v>0.0225</v>
      </c>
      <c r="E90" s="6" t="n">
        <v>0.045</v>
      </c>
      <c r="F90" s="6" t="n">
        <v>0.045</v>
      </c>
      <c r="G90" s="7" t="s">
        <v>48</v>
      </c>
      <c r="H90" s="2" t="s">
        <v>294</v>
      </c>
      <c r="I90" s="7" t="s">
        <v>50</v>
      </c>
    </row>
    <row r="91" customFormat="false" ht="17.15" hidden="false" customHeight="false" outlineLevel="0" collapsed="false">
      <c r="A91" s="0" t="s">
        <v>295</v>
      </c>
      <c r="B91" s="2" t="s">
        <v>296</v>
      </c>
      <c r="C91" s="0" t="s">
        <v>47</v>
      </c>
      <c r="D91" s="6" t="n">
        <v>0.04</v>
      </c>
      <c r="E91" s="6" t="n">
        <v>0.05</v>
      </c>
      <c r="F91" s="6" t="n">
        <v>0.07</v>
      </c>
      <c r="G91" s="7" t="s">
        <v>48</v>
      </c>
      <c r="H91" s="2" t="s">
        <v>297</v>
      </c>
      <c r="I91" s="7" t="s">
        <v>50</v>
      </c>
    </row>
    <row r="92" customFormat="false" ht="17.15" hidden="false" customHeight="false" outlineLevel="0" collapsed="false">
      <c r="A92" s="0" t="s">
        <v>298</v>
      </c>
      <c r="B92" s="2" t="s">
        <v>299</v>
      </c>
      <c r="C92" s="0" t="s">
        <v>166</v>
      </c>
      <c r="E92" s="6" t="n">
        <v>107</v>
      </c>
      <c r="G92" s="7" t="s">
        <v>26</v>
      </c>
      <c r="H92" s="7" t="s">
        <v>300</v>
      </c>
      <c r="I92" s="7" t="s">
        <v>50</v>
      </c>
    </row>
    <row r="93" customFormat="false" ht="17.15" hidden="false" customHeight="false" outlineLevel="0" collapsed="false">
      <c r="A93" s="0" t="s">
        <v>301</v>
      </c>
      <c r="B93" s="2" t="s">
        <v>302</v>
      </c>
      <c r="C93" s="0" t="s">
        <v>47</v>
      </c>
      <c r="E93" s="0" t="n">
        <f aca="false">(32*0.055+22*0.05875+26*0.04875+27*0.1025)/107</f>
        <v>0.0662383177570094</v>
      </c>
      <c r="G93" s="0" t="s">
        <v>38</v>
      </c>
      <c r="H93" s="0" t="s">
        <v>303</v>
      </c>
      <c r="I93" s="0" t="s">
        <v>50</v>
      </c>
    </row>
    <row r="94" customFormat="false" ht="17.15" hidden="false" customHeight="false" outlineLevel="0" collapsed="false">
      <c r="A94" s="0" t="s">
        <v>304</v>
      </c>
      <c r="B94" s="2" t="s">
        <v>305</v>
      </c>
      <c r="C94" s="0" t="s">
        <v>166</v>
      </c>
      <c r="E94" s="6" t="n">
        <v>485</v>
      </c>
      <c r="G94" s="7" t="s">
        <v>26</v>
      </c>
      <c r="H94" s="7" t="s">
        <v>280</v>
      </c>
      <c r="I94" s="2" t="s">
        <v>306</v>
      </c>
    </row>
    <row r="95" customFormat="false" ht="15" hidden="false" customHeight="false" outlineLevel="0" collapsed="false">
      <c r="A95" s="0" t="s">
        <v>307</v>
      </c>
      <c r="B95" s="2" t="s">
        <v>308</v>
      </c>
      <c r="C95" s="0" t="s">
        <v>47</v>
      </c>
      <c r="D95" s="6" t="n">
        <v>0.07</v>
      </c>
      <c r="E95" s="6" t="n">
        <v>0.08</v>
      </c>
      <c r="F95" s="6" t="n">
        <v>0.09</v>
      </c>
      <c r="G95" s="7" t="s">
        <v>48</v>
      </c>
      <c r="H95" s="2" t="s">
        <v>309</v>
      </c>
      <c r="I95" s="7" t="s">
        <v>50</v>
      </c>
    </row>
    <row r="96" customFormat="false" ht="15" hidden="false" customHeight="false" outlineLevel="0" collapsed="false">
      <c r="A96" s="0" t="s">
        <v>310</v>
      </c>
      <c r="B96" s="2" t="s">
        <v>311</v>
      </c>
      <c r="C96" s="0" t="s">
        <v>47</v>
      </c>
      <c r="D96" s="6" t="n">
        <v>0.06</v>
      </c>
      <c r="E96" s="6" t="n">
        <v>0.07</v>
      </c>
      <c r="F96" s="6" t="n">
        <v>0.08</v>
      </c>
      <c r="G96" s="7" t="s">
        <v>48</v>
      </c>
      <c r="H96" s="2" t="s">
        <v>312</v>
      </c>
      <c r="I96" s="7" t="s">
        <v>50</v>
      </c>
    </row>
    <row r="97" customFormat="false" ht="17.15" hidden="false" customHeight="false" outlineLevel="0" collapsed="false">
      <c r="A97" s="0" t="s">
        <v>313</v>
      </c>
      <c r="B97" s="2" t="s">
        <v>314</v>
      </c>
      <c r="C97" s="0" t="s">
        <v>166</v>
      </c>
      <c r="E97" s="6" t="n">
        <v>142</v>
      </c>
      <c r="G97" s="7" t="s">
        <v>26</v>
      </c>
      <c r="H97" s="7" t="s">
        <v>315</v>
      </c>
      <c r="I97" s="2" t="s">
        <v>316</v>
      </c>
    </row>
    <row r="98" customFormat="false" ht="17.15" hidden="false" customHeight="false" outlineLevel="0" collapsed="false">
      <c r="A98" s="0" t="s">
        <v>317</v>
      </c>
      <c r="B98" s="2" t="s">
        <v>318</v>
      </c>
      <c r="C98" s="0" t="s">
        <v>47</v>
      </c>
      <c r="E98" s="6" t="n">
        <v>0.065</v>
      </c>
      <c r="G98" s="7" t="s">
        <v>38</v>
      </c>
      <c r="H98" s="7" t="s">
        <v>319</v>
      </c>
      <c r="I98" s="7" t="s">
        <v>50</v>
      </c>
    </row>
    <row r="99" customFormat="false" ht="17.15" hidden="false" customHeight="false" outlineLevel="0" collapsed="false">
      <c r="A99" s="0" t="s">
        <v>320</v>
      </c>
      <c r="B99" s="2" t="s">
        <v>321</v>
      </c>
      <c r="C99" s="0" t="s">
        <v>166</v>
      </c>
      <c r="E99" s="6" t="n">
        <v>118</v>
      </c>
      <c r="G99" s="7" t="s">
        <v>26</v>
      </c>
      <c r="H99" s="7" t="s">
        <v>322</v>
      </c>
      <c r="I99" s="2" t="s">
        <v>316</v>
      </c>
    </row>
    <row r="100" customFormat="false" ht="17.15" hidden="false" customHeight="false" outlineLevel="0" collapsed="false">
      <c r="A100" s="0" t="s">
        <v>323</v>
      </c>
      <c r="B100" s="2" t="s">
        <v>324</v>
      </c>
      <c r="C100" s="0" t="s">
        <v>47</v>
      </c>
      <c r="E100" s="6" t="n">
        <v>0.064</v>
      </c>
      <c r="G100" s="7" t="s">
        <v>26</v>
      </c>
      <c r="H100" s="7" t="s">
        <v>325</v>
      </c>
      <c r="I100" s="7" t="s">
        <v>50</v>
      </c>
    </row>
    <row r="101" customFormat="false" ht="17.15" hidden="false" customHeight="false" outlineLevel="0" collapsed="false">
      <c r="A101" s="0" t="s">
        <v>326</v>
      </c>
      <c r="B101" s="2" t="s">
        <v>327</v>
      </c>
      <c r="C101" s="0" t="s">
        <v>47</v>
      </c>
      <c r="E101" s="0" t="n">
        <f aca="false">71/3456</f>
        <v>0.0205439814814815</v>
      </c>
      <c r="G101" s="0" t="s">
        <v>38</v>
      </c>
      <c r="H101" s="0" t="s">
        <v>328</v>
      </c>
      <c r="I101" s="2" t="s">
        <v>329</v>
      </c>
    </row>
    <row r="102" customFormat="false" ht="17.15" hidden="false" customHeight="false" outlineLevel="0" collapsed="false">
      <c r="A102" s="0" t="s">
        <v>330</v>
      </c>
      <c r="B102" s="2" t="s">
        <v>331</v>
      </c>
      <c r="C102" s="0" t="s">
        <v>47</v>
      </c>
      <c r="E102" s="6" t="n">
        <v>0.0444</v>
      </c>
      <c r="G102" s="7" t="s">
        <v>26</v>
      </c>
      <c r="H102" s="7" t="s">
        <v>332</v>
      </c>
      <c r="I102" s="7" t="s">
        <v>50</v>
      </c>
    </row>
    <row r="103" customFormat="false" ht="17.15" hidden="false" customHeight="false" outlineLevel="0" collapsed="false">
      <c r="A103" s="0" t="s">
        <v>333</v>
      </c>
      <c r="B103" s="2" t="s">
        <v>334</v>
      </c>
      <c r="C103" s="0" t="s">
        <v>47</v>
      </c>
      <c r="D103" s="6" t="n">
        <v>0.03</v>
      </c>
      <c r="E103" s="6" t="n">
        <v>0.035</v>
      </c>
      <c r="F103" s="6" t="n">
        <v>0.04</v>
      </c>
      <c r="G103" s="7" t="s">
        <v>48</v>
      </c>
      <c r="H103" s="7" t="s">
        <v>335</v>
      </c>
      <c r="I103" s="2" t="s">
        <v>336</v>
      </c>
    </row>
    <row r="104" customFormat="false" ht="17.15" hidden="false" customHeight="false" outlineLevel="0" collapsed="false">
      <c r="A104" s="0" t="s">
        <v>337</v>
      </c>
      <c r="B104" s="0" t="s">
        <v>338</v>
      </c>
      <c r="C104" s="0" t="s">
        <v>166</v>
      </c>
      <c r="E104" s="6" t="n">
        <v>98</v>
      </c>
      <c r="G104" s="7" t="s">
        <v>26</v>
      </c>
      <c r="H104" s="7" t="s">
        <v>339</v>
      </c>
      <c r="I104" s="7" t="s">
        <v>340</v>
      </c>
    </row>
    <row r="105" customFormat="false" ht="17.15" hidden="false" customHeight="false" outlineLevel="0" collapsed="false">
      <c r="A105" s="0" t="s">
        <v>341</v>
      </c>
      <c r="B105" s="2" t="s">
        <v>342</v>
      </c>
      <c r="C105" s="0" t="s">
        <v>166</v>
      </c>
      <c r="E105" s="6" t="n">
        <v>45</v>
      </c>
      <c r="G105" s="7" t="s">
        <v>26</v>
      </c>
      <c r="H105" s="7" t="s">
        <v>343</v>
      </c>
      <c r="I105" s="2" t="s">
        <v>344</v>
      </c>
    </row>
    <row r="106" customFormat="false" ht="17.15" hidden="false" customHeight="false" outlineLevel="0" collapsed="false">
      <c r="A106" s="0" t="s">
        <v>345</v>
      </c>
      <c r="B106" s="0" t="s">
        <v>346</v>
      </c>
      <c r="C106" s="0" t="s">
        <v>166</v>
      </c>
      <c r="E106" s="6" t="n">
        <v>50</v>
      </c>
      <c r="G106" s="7" t="s">
        <v>26</v>
      </c>
      <c r="H106" s="7" t="s">
        <v>347</v>
      </c>
      <c r="I106" s="7" t="s">
        <v>348</v>
      </c>
    </row>
    <row r="107" customFormat="false" ht="15" hidden="false" customHeight="false" outlineLevel="0" collapsed="false">
      <c r="A107" s="0" t="s">
        <v>349</v>
      </c>
      <c r="B107" s="2" t="s">
        <v>350</v>
      </c>
      <c r="C107" s="0" t="s">
        <v>166</v>
      </c>
      <c r="D107" s="6" t="n">
        <v>3000</v>
      </c>
      <c r="E107" s="6" t="n">
        <v>5000</v>
      </c>
      <c r="F107" s="6" t="n">
        <v>10000</v>
      </c>
      <c r="G107" s="7" t="s">
        <v>48</v>
      </c>
      <c r="H107" s="2" t="s">
        <v>351</v>
      </c>
      <c r="I107" s="2" t="s">
        <v>352</v>
      </c>
    </row>
    <row r="108" customFormat="false" ht="15" hidden="false" customHeight="false" outlineLevel="0" collapsed="false">
      <c r="A108" s="0" t="s">
        <v>353</v>
      </c>
      <c r="B108" s="2" t="s">
        <v>354</v>
      </c>
      <c r="C108" s="0" t="s">
        <v>166</v>
      </c>
      <c r="D108" s="6" t="n">
        <v>750</v>
      </c>
      <c r="E108" s="6" t="n">
        <v>1000</v>
      </c>
      <c r="F108" s="6" t="n">
        <v>1500</v>
      </c>
      <c r="G108" s="7" t="s">
        <v>48</v>
      </c>
      <c r="H108" s="7" t="s">
        <v>50</v>
      </c>
      <c r="I108" s="2" t="s">
        <v>355</v>
      </c>
    </row>
    <row r="109" customFormat="false" ht="17.15" hidden="false" customHeight="false" outlineLevel="0" collapsed="false">
      <c r="A109" s="0" t="s">
        <v>356</v>
      </c>
      <c r="B109" s="2" t="s">
        <v>357</v>
      </c>
      <c r="C109" s="0" t="s">
        <v>47</v>
      </c>
      <c r="E109" s="6" t="n">
        <v>0.05</v>
      </c>
      <c r="G109" s="7" t="s">
        <v>48</v>
      </c>
      <c r="H109" s="2" t="s">
        <v>358</v>
      </c>
      <c r="I109" s="7" t="s">
        <v>50</v>
      </c>
    </row>
    <row r="110" customFormat="false" ht="17.15" hidden="false" customHeight="false" outlineLevel="0" collapsed="false">
      <c r="A110" s="5" t="s">
        <v>359</v>
      </c>
    </row>
    <row r="111" customFormat="false" ht="17.15" hidden="false" customHeight="false" outlineLevel="0" collapsed="false">
      <c r="A111" s="0" t="s">
        <v>360</v>
      </c>
      <c r="B111" s="0" t="s">
        <v>361</v>
      </c>
      <c r="C111" s="0" t="s">
        <v>195</v>
      </c>
      <c r="E111" s="6" t="n">
        <v>8000</v>
      </c>
      <c r="G111" s="7" t="s">
        <v>26</v>
      </c>
      <c r="H111" s="7" t="s">
        <v>362</v>
      </c>
      <c r="I111" s="2" t="s">
        <v>363</v>
      </c>
    </row>
    <row r="112" customFormat="false" ht="17.15" hidden="false" customHeight="false" outlineLevel="0" collapsed="false">
      <c r="A112" s="0" t="s">
        <v>364</v>
      </c>
      <c r="B112" s="2" t="s">
        <v>365</v>
      </c>
      <c r="C112" s="0" t="s">
        <v>166</v>
      </c>
      <c r="E112" s="6" t="n">
        <v>8300</v>
      </c>
      <c r="G112" s="7" t="s">
        <v>26</v>
      </c>
      <c r="H112" s="7" t="s">
        <v>366</v>
      </c>
      <c r="I112" s="2" t="s">
        <v>367</v>
      </c>
    </row>
    <row r="113" customFormat="false" ht="17.15" hidden="false" customHeight="false" outlineLevel="0" collapsed="false">
      <c r="A113" s="0" t="s">
        <v>368</v>
      </c>
      <c r="B113" s="2" t="s">
        <v>369</v>
      </c>
      <c r="C113" s="2" t="s">
        <v>188</v>
      </c>
      <c r="E113" s="6" t="n">
        <v>1.25</v>
      </c>
      <c r="G113" s="7" t="s">
        <v>38</v>
      </c>
      <c r="H113" s="7" t="s">
        <v>370</v>
      </c>
      <c r="I113" s="7" t="s">
        <v>50</v>
      </c>
    </row>
    <row r="114" customFormat="false" ht="17.15" hidden="false" customHeight="false" outlineLevel="0" collapsed="false">
      <c r="A114" s="0" t="s">
        <v>371</v>
      </c>
      <c r="B114" s="2" t="s">
        <v>372</v>
      </c>
      <c r="C114" s="0" t="s">
        <v>195</v>
      </c>
      <c r="E114" s="0" t="n">
        <f aca="false">3700*4/3</f>
        <v>4933.33333333333</v>
      </c>
      <c r="G114" s="0" t="s">
        <v>38</v>
      </c>
      <c r="H114" s="0" t="s">
        <v>373</v>
      </c>
      <c r="I114" s="2" t="s">
        <v>374</v>
      </c>
    </row>
    <row r="115" customFormat="false" ht="17.15" hidden="false" customHeight="false" outlineLevel="0" collapsed="false">
      <c r="A115" s="0" t="s">
        <v>375</v>
      </c>
      <c r="B115" s="2" t="s">
        <v>376</v>
      </c>
      <c r="C115" s="0" t="s">
        <v>166</v>
      </c>
      <c r="E115" s="6" t="n">
        <v>4100</v>
      </c>
      <c r="G115" s="7" t="s">
        <v>26</v>
      </c>
      <c r="H115" s="7" t="s">
        <v>377</v>
      </c>
      <c r="I115" s="7" t="s">
        <v>50</v>
      </c>
    </row>
    <row r="116" customFormat="false" ht="15" hidden="false" customHeight="false" outlineLevel="0" collapsed="false">
      <c r="A116" s="0" t="s">
        <v>378</v>
      </c>
      <c r="B116" s="2" t="s">
        <v>379</v>
      </c>
      <c r="C116" s="0" t="s">
        <v>47</v>
      </c>
      <c r="D116" s="6" t="n">
        <v>0.75</v>
      </c>
      <c r="E116" s="6" t="n">
        <v>0.85</v>
      </c>
      <c r="F116" s="6" t="n">
        <v>0.9</v>
      </c>
      <c r="G116" s="7" t="s">
        <v>48</v>
      </c>
      <c r="H116" s="2" t="s">
        <v>312</v>
      </c>
      <c r="I116" s="7" t="s">
        <v>50</v>
      </c>
    </row>
    <row r="117" customFormat="false" ht="17.15" hidden="false" customHeight="false" outlineLevel="0" collapsed="false">
      <c r="A117" s="5" t="s">
        <v>380</v>
      </c>
    </row>
    <row r="118" customFormat="false" ht="17.15" hidden="false" customHeight="false" outlineLevel="0" collapsed="false">
      <c r="A118" s="0" t="s">
        <v>381</v>
      </c>
      <c r="B118" s="2" t="s">
        <v>382</v>
      </c>
      <c r="C118" s="0" t="s">
        <v>383</v>
      </c>
      <c r="D118" s="6" t="n">
        <v>0.01</v>
      </c>
      <c r="E118" s="6" t="n">
        <v>0.02</v>
      </c>
      <c r="F118" s="6" t="n">
        <v>0.03</v>
      </c>
      <c r="G118" s="7" t="s">
        <v>48</v>
      </c>
      <c r="H118" s="2" t="s">
        <v>384</v>
      </c>
      <c r="I118" s="7" t="s">
        <v>50</v>
      </c>
    </row>
    <row r="119" customFormat="false" ht="15" hidden="false" customHeight="false" outlineLevel="0" collapsed="false">
      <c r="A119" s="0" t="s">
        <v>385</v>
      </c>
      <c r="B119" s="2" t="s">
        <v>386</v>
      </c>
      <c r="C119" s="0" t="s">
        <v>387</v>
      </c>
      <c r="D119" s="6" t="n">
        <v>0.7</v>
      </c>
      <c r="E119" s="6" t="n">
        <v>0.9</v>
      </c>
      <c r="F119" s="6" t="n">
        <v>1</v>
      </c>
      <c r="G119" s="7" t="s">
        <v>48</v>
      </c>
      <c r="H119" s="2" t="s">
        <v>388</v>
      </c>
      <c r="I119" s="7" t="s">
        <v>50</v>
      </c>
    </row>
    <row r="120" customFormat="false" ht="17.15" hidden="false" customHeight="false" outlineLevel="0" collapsed="false">
      <c r="A120" s="0" t="s">
        <v>389</v>
      </c>
      <c r="B120" s="2" t="s">
        <v>390</v>
      </c>
      <c r="C120" s="0" t="s">
        <v>383</v>
      </c>
      <c r="D120" s="6" t="n">
        <v>0.005</v>
      </c>
      <c r="E120" s="6" t="n">
        <v>0.01</v>
      </c>
      <c r="F120" s="6" t="n">
        <v>0.02</v>
      </c>
      <c r="G120" s="7" t="s">
        <v>48</v>
      </c>
      <c r="H120" s="2" t="s">
        <v>391</v>
      </c>
      <c r="I120" s="7" t="s">
        <v>50</v>
      </c>
    </row>
    <row r="121" customFormat="false" ht="17.15" hidden="false" customHeight="false" outlineLevel="0" collapsed="false">
      <c r="A121" s="0" t="s">
        <v>392</v>
      </c>
      <c r="B121" s="2" t="s">
        <v>393</v>
      </c>
      <c r="C121" s="2" t="s">
        <v>188</v>
      </c>
      <c r="D121" s="6" t="n">
        <v>1.8</v>
      </c>
      <c r="E121" s="6" t="n">
        <v>2</v>
      </c>
      <c r="F121" s="6" t="n">
        <v>2.2</v>
      </c>
      <c r="G121" s="7" t="s">
        <v>38</v>
      </c>
      <c r="H121" s="7" t="s">
        <v>394</v>
      </c>
      <c r="I121" s="2" t="s">
        <v>395</v>
      </c>
    </row>
    <row r="122" customFormat="false" ht="17.15" hidden="false" customHeight="false" outlineLevel="0" collapsed="false">
      <c r="A122" s="5" t="s">
        <v>396</v>
      </c>
    </row>
    <row r="123" customFormat="false" ht="17.15" hidden="false" customHeight="false" outlineLevel="0" collapsed="false">
      <c r="A123" s="0" t="s">
        <v>397</v>
      </c>
      <c r="B123" s="2" t="s">
        <v>398</v>
      </c>
      <c r="C123" s="0" t="s">
        <v>47</v>
      </c>
      <c r="E123" s="6" t="n">
        <v>0.05</v>
      </c>
      <c r="G123" s="7" t="s">
        <v>227</v>
      </c>
      <c r="H123" s="2" t="s">
        <v>399</v>
      </c>
      <c r="I123" s="2" t="s">
        <v>400</v>
      </c>
    </row>
    <row r="124" customFormat="false" ht="17.15" hidden="false" customHeight="false" outlineLevel="0" collapsed="false">
      <c r="A124" s="0" t="s">
        <v>401</v>
      </c>
      <c r="B124" s="2" t="s">
        <v>402</v>
      </c>
      <c r="C124" s="0" t="s">
        <v>387</v>
      </c>
      <c r="E124" s="6" t="n">
        <v>3.55</v>
      </c>
      <c r="G124" s="7" t="s">
        <v>26</v>
      </c>
      <c r="H124" s="7" t="s">
        <v>403</v>
      </c>
      <c r="I124" s="2" t="s">
        <v>404</v>
      </c>
    </row>
    <row r="125" customFormat="false" ht="17.15" hidden="false" customHeight="false" outlineLevel="0" collapsed="false">
      <c r="A125" s="0" t="s">
        <v>405</v>
      </c>
      <c r="B125" s="0" t="s">
        <v>406</v>
      </c>
      <c r="C125" s="0" t="s">
        <v>387</v>
      </c>
      <c r="D125" s="6" t="n">
        <v>1.8</v>
      </c>
      <c r="E125" s="7" t="n">
        <f aca="false">0.67*beta_raw+0.33</f>
        <v>2.7085</v>
      </c>
      <c r="F125" s="6" t="n">
        <v>3</v>
      </c>
      <c r="G125" s="7" t="s">
        <v>38</v>
      </c>
      <c r="H125" s="2" t="s">
        <v>407</v>
      </c>
      <c r="I125" s="2" t="s">
        <v>408</v>
      </c>
    </row>
    <row r="126" customFormat="false" ht="17.15" hidden="false" customHeight="false" outlineLevel="0" collapsed="false">
      <c r="A126" s="0" t="s">
        <v>409</v>
      </c>
      <c r="B126" s="2" t="s">
        <v>410</v>
      </c>
      <c r="C126" s="0" t="s">
        <v>47</v>
      </c>
      <c r="E126" s="6" t="n">
        <v>0.05</v>
      </c>
      <c r="G126" s="7" t="s">
        <v>48</v>
      </c>
      <c r="H126" s="2" t="s">
        <v>411</v>
      </c>
      <c r="I126" s="7" t="s">
        <v>50</v>
      </c>
    </row>
    <row r="127" customFormat="false" ht="17.15" hidden="false" customHeight="false" outlineLevel="0" collapsed="false">
      <c r="A127" s="0" t="s">
        <v>412</v>
      </c>
      <c r="B127" s="2" t="s">
        <v>413</v>
      </c>
      <c r="C127" s="0" t="s">
        <v>47</v>
      </c>
      <c r="E127" s="0" t="n">
        <f aca="false">(tlb*(sofr+tlb_sp)+ssn_31*ssn_r+uns*uns_r+re_fin*re_r)/(tlb+ssn_31+uns+re_fin)</f>
        <v>0.0780105065251051</v>
      </c>
      <c r="G127" s="0" t="s">
        <v>38</v>
      </c>
      <c r="H127" s="2" t="s">
        <v>414</v>
      </c>
      <c r="I127" s="0" t="s">
        <v>50</v>
      </c>
    </row>
    <row r="128" customFormat="false" ht="15" hidden="false" customHeight="false" outlineLevel="0" collapsed="false">
      <c r="A128" s="0" t="s">
        <v>415</v>
      </c>
      <c r="B128" s="2" t="s">
        <v>416</v>
      </c>
      <c r="C128" s="0" t="s">
        <v>47</v>
      </c>
      <c r="E128" s="6" t="n">
        <v>0.21</v>
      </c>
      <c r="G128" s="7" t="s">
        <v>48</v>
      </c>
      <c r="H128" s="2" t="s">
        <v>417</v>
      </c>
      <c r="I128" s="7" t="s">
        <v>50</v>
      </c>
    </row>
    <row r="129" customFormat="false" ht="15" hidden="false" customHeight="false" outlineLevel="0" collapsed="false">
      <c r="A129" s="0" t="s">
        <v>418</v>
      </c>
      <c r="B129" s="2" t="s">
        <v>419</v>
      </c>
      <c r="C129" s="0" t="s">
        <v>47</v>
      </c>
      <c r="D129" s="6" t="n">
        <v>0.02</v>
      </c>
      <c r="E129" s="6" t="n">
        <v>0.03</v>
      </c>
      <c r="F129" s="6" t="n">
        <v>0.04</v>
      </c>
      <c r="G129" s="7" t="s">
        <v>48</v>
      </c>
      <c r="H129" s="7" t="s">
        <v>50</v>
      </c>
      <c r="I129" s="7" t="s">
        <v>50</v>
      </c>
    </row>
    <row r="130" customFormat="false" ht="17.15" hidden="false" customHeight="false" outlineLevel="0" collapsed="false">
      <c r="A130" s="0" t="s">
        <v>420</v>
      </c>
      <c r="B130" s="2" t="s">
        <v>421</v>
      </c>
      <c r="C130" s="0" t="s">
        <v>387</v>
      </c>
      <c r="E130" s="6" t="n">
        <v>11.79</v>
      </c>
      <c r="G130" s="7" t="s">
        <v>227</v>
      </c>
      <c r="H130" s="7" t="s">
        <v>422</v>
      </c>
      <c r="I130" s="7" t="s">
        <v>50</v>
      </c>
    </row>
    <row r="131" customFormat="false" ht="17.15" hidden="false" customHeight="false" outlineLevel="0" collapsed="false">
      <c r="A131" s="0" t="s">
        <v>423</v>
      </c>
      <c r="B131" s="2" t="s">
        <v>424</v>
      </c>
      <c r="C131" s="0" t="s">
        <v>387</v>
      </c>
      <c r="E131" s="6" t="n">
        <v>10.97</v>
      </c>
      <c r="G131" s="7" t="s">
        <v>227</v>
      </c>
      <c r="H131" s="7" t="s">
        <v>425</v>
      </c>
      <c r="I131" s="7" t="s">
        <v>426</v>
      </c>
    </row>
    <row r="132" customFormat="false" ht="17.15" hidden="false" customHeight="false" outlineLevel="0" collapsed="false">
      <c r="A132" s="0" t="s">
        <v>427</v>
      </c>
      <c r="B132" s="2" t="s">
        <v>428</v>
      </c>
      <c r="C132" s="0" t="s">
        <v>387</v>
      </c>
      <c r="D132" s="6" t="n">
        <v>1</v>
      </c>
      <c r="E132" s="6" t="n">
        <v>1.5</v>
      </c>
      <c r="F132" s="6" t="n">
        <v>2</v>
      </c>
      <c r="G132" s="7" t="s">
        <v>48</v>
      </c>
      <c r="H132" s="7" t="s">
        <v>429</v>
      </c>
      <c r="I132" s="7" t="s">
        <v>430</v>
      </c>
    </row>
    <row r="133" customFormat="false" ht="17.15" hidden="false" customHeight="false" outlineLevel="0" collapsed="false">
      <c r="A133" s="0" t="s">
        <v>431</v>
      </c>
      <c r="B133" s="0" t="s">
        <v>432</v>
      </c>
      <c r="C133" s="0" t="s">
        <v>47</v>
      </c>
      <c r="E133" s="6" t="n">
        <v>0.5</v>
      </c>
      <c r="G133" s="7" t="s">
        <v>48</v>
      </c>
      <c r="H133" s="2" t="s">
        <v>433</v>
      </c>
      <c r="I133" s="7" t="s">
        <v>50</v>
      </c>
    </row>
    <row r="134" customFormat="false" ht="17.15" hidden="false" customHeight="false" outlineLevel="0" collapsed="false">
      <c r="A134" s="0" t="s">
        <v>434</v>
      </c>
      <c r="B134" s="2" t="s">
        <v>435</v>
      </c>
      <c r="C134" s="0" t="s">
        <v>47</v>
      </c>
      <c r="E134" s="6" t="n">
        <v>0.25</v>
      </c>
      <c r="G134" s="7" t="s">
        <v>48</v>
      </c>
      <c r="H134" s="2" t="s">
        <v>436</v>
      </c>
      <c r="I134" s="7" t="s">
        <v>50</v>
      </c>
    </row>
    <row r="135" customFormat="false" ht="17.15" hidden="false" customHeight="false" outlineLevel="0" collapsed="false">
      <c r="A135" s="0" t="s">
        <v>437</v>
      </c>
      <c r="B135" s="2" t="s">
        <v>438</v>
      </c>
      <c r="C135" s="0" t="s">
        <v>47</v>
      </c>
      <c r="E135" s="6" t="n">
        <v>0.5</v>
      </c>
      <c r="G135" s="7" t="s">
        <v>48</v>
      </c>
      <c r="H135" s="2" t="s">
        <v>56</v>
      </c>
      <c r="I135" s="7" t="s">
        <v>50</v>
      </c>
    </row>
    <row r="136" customFormat="false" ht="17.15" hidden="false" customHeight="false" outlineLevel="0" collapsed="false">
      <c r="A136" s="0" t="s">
        <v>439</v>
      </c>
      <c r="B136" s="2" t="s">
        <v>440</v>
      </c>
      <c r="C136" s="0" t="s">
        <v>47</v>
      </c>
      <c r="E136" s="6" t="n">
        <v>0.25</v>
      </c>
      <c r="G136" s="7" t="s">
        <v>48</v>
      </c>
      <c r="H136" s="2" t="s">
        <v>56</v>
      </c>
      <c r="I136" s="7" t="s">
        <v>50</v>
      </c>
    </row>
    <row r="137" customFormat="false" ht="17.15" hidden="false" customHeight="false" outlineLevel="0" collapsed="false">
      <c r="A137" s="5" t="s">
        <v>441</v>
      </c>
    </row>
    <row r="138" customFormat="false" ht="17.15" hidden="false" customHeight="false" outlineLevel="0" collapsed="false">
      <c r="A138" s="0" t="s">
        <v>442</v>
      </c>
      <c r="B138" s="2" t="s">
        <v>443</v>
      </c>
      <c r="C138" s="0" t="s">
        <v>166</v>
      </c>
      <c r="E138" s="6" t="n">
        <v>2700</v>
      </c>
      <c r="G138" s="7" t="s">
        <v>26</v>
      </c>
      <c r="H138" s="7" t="s">
        <v>444</v>
      </c>
      <c r="I138" s="2" t="s">
        <v>445</v>
      </c>
    </row>
    <row r="139" customFormat="false" ht="17.15" hidden="false" customHeight="false" outlineLevel="0" collapsed="false">
      <c r="A139" s="0" t="s">
        <v>446</v>
      </c>
      <c r="B139" s="2" t="s">
        <v>447</v>
      </c>
      <c r="C139" s="0" t="s">
        <v>166</v>
      </c>
      <c r="E139" s="6" t="n">
        <v>3000</v>
      </c>
      <c r="G139" s="7" t="s">
        <v>26</v>
      </c>
      <c r="H139" s="7" t="s">
        <v>339</v>
      </c>
      <c r="I139" s="7" t="s">
        <v>50</v>
      </c>
    </row>
    <row r="140" customFormat="false" ht="17.15" hidden="false" customHeight="false" outlineLevel="0" collapsed="false">
      <c r="A140" s="0" t="s">
        <v>448</v>
      </c>
      <c r="B140" s="2" t="s">
        <v>449</v>
      </c>
      <c r="C140" s="0" t="s">
        <v>47</v>
      </c>
      <c r="E140" s="6" t="n">
        <v>0.125</v>
      </c>
      <c r="G140" s="7" t="s">
        <v>26</v>
      </c>
      <c r="H140" s="7" t="s">
        <v>450</v>
      </c>
      <c r="I140" s="7" t="s">
        <v>50</v>
      </c>
    </row>
    <row r="141" customFormat="false" ht="17.15" hidden="false" customHeight="false" outlineLevel="0" collapsed="false">
      <c r="A141" s="0" t="s">
        <v>451</v>
      </c>
      <c r="B141" s="0" t="s">
        <v>452</v>
      </c>
      <c r="C141" s="2" t="s">
        <v>37</v>
      </c>
      <c r="E141" s="6" t="n">
        <v>210299</v>
      </c>
      <c r="G141" s="7" t="s">
        <v>26</v>
      </c>
      <c r="H141" s="7" t="s">
        <v>453</v>
      </c>
      <c r="I141" s="7" t="s">
        <v>50</v>
      </c>
    </row>
    <row r="142" customFormat="false" ht="17.15" hidden="false" customHeight="false" outlineLevel="0" collapsed="false">
      <c r="A142" s="0" t="s">
        <v>454</v>
      </c>
      <c r="B142" s="0" t="s">
        <v>455</v>
      </c>
      <c r="C142" s="0" t="s">
        <v>166</v>
      </c>
      <c r="E142" s="6" t="n">
        <v>791.3</v>
      </c>
      <c r="G142" s="7" t="s">
        <v>26</v>
      </c>
      <c r="H142" s="7" t="s">
        <v>456</v>
      </c>
      <c r="I142" s="7" t="s">
        <v>50</v>
      </c>
    </row>
    <row r="143" customFormat="false" ht="17.15" hidden="false" customHeight="false" outlineLevel="0" collapsed="false">
      <c r="A143" s="0" t="s">
        <v>457</v>
      </c>
      <c r="B143" s="0" t="s">
        <v>458</v>
      </c>
      <c r="C143" s="0" t="s">
        <v>25</v>
      </c>
      <c r="E143" s="6" t="n">
        <v>3404</v>
      </c>
      <c r="G143" s="7" t="s">
        <v>26</v>
      </c>
      <c r="H143" s="7" t="s">
        <v>459</v>
      </c>
      <c r="I143" s="7" t="s">
        <v>50</v>
      </c>
    </row>
    <row r="144" customFormat="false" ht="17.15" hidden="false" customHeight="false" outlineLevel="0" collapsed="false">
      <c r="A144" s="0" t="s">
        <v>460</v>
      </c>
      <c r="B144" s="0" t="s">
        <v>461</v>
      </c>
      <c r="C144" s="0" t="s">
        <v>25</v>
      </c>
      <c r="E144" s="6" t="n">
        <v>2722</v>
      </c>
      <c r="G144" s="7" t="s">
        <v>26</v>
      </c>
      <c r="H144" s="7" t="s">
        <v>459</v>
      </c>
      <c r="I144" s="7" t="s">
        <v>50</v>
      </c>
    </row>
    <row r="145" customFormat="false" ht="17.15" hidden="false" customHeight="false" outlineLevel="0" collapsed="false">
      <c r="A145" s="0" t="s">
        <v>462</v>
      </c>
      <c r="B145" s="0" t="s">
        <v>463</v>
      </c>
      <c r="C145" s="0" t="s">
        <v>25</v>
      </c>
      <c r="E145" s="6" t="n">
        <v>812</v>
      </c>
      <c r="G145" s="7" t="s">
        <v>26</v>
      </c>
      <c r="H145" s="7" t="s">
        <v>459</v>
      </c>
      <c r="I145" s="7" t="s">
        <v>50</v>
      </c>
    </row>
    <row r="146" customFormat="false" ht="17.15" hidden="false" customHeight="false" outlineLevel="0" collapsed="false">
      <c r="A146" s="0" t="s">
        <v>464</v>
      </c>
      <c r="B146" s="0" t="s">
        <v>465</v>
      </c>
      <c r="C146" s="0" t="s">
        <v>166</v>
      </c>
      <c r="E146" s="6" t="n">
        <v>7670</v>
      </c>
      <c r="G146" s="7" t="s">
        <v>26</v>
      </c>
      <c r="H146" s="7" t="s">
        <v>453</v>
      </c>
      <c r="I146" s="7" t="s">
        <v>50</v>
      </c>
    </row>
    <row r="147" customFormat="false" ht="17.15" hidden="false" customHeight="false" outlineLevel="0" collapsed="false">
      <c r="A147" s="0" t="s">
        <v>466</v>
      </c>
      <c r="B147" s="2" t="s">
        <v>467</v>
      </c>
      <c r="C147" s="0" t="s">
        <v>25</v>
      </c>
      <c r="E147" s="6" t="n">
        <v>82</v>
      </c>
      <c r="G147" s="7" t="s">
        <v>26</v>
      </c>
      <c r="H147" s="7" t="s">
        <v>468</v>
      </c>
      <c r="I147" s="2" t="s">
        <v>469</v>
      </c>
    </row>
    <row r="148" customFormat="false" ht="17.15" hidden="false" customHeight="false" outlineLevel="0" collapsed="false">
      <c r="A148" s="0" t="s">
        <v>470</v>
      </c>
      <c r="B148" s="0" t="s">
        <v>471</v>
      </c>
      <c r="C148" s="0" t="s">
        <v>387</v>
      </c>
      <c r="E148" s="6" t="n">
        <v>4</v>
      </c>
      <c r="G148" s="7" t="s">
        <v>26</v>
      </c>
      <c r="H148" s="7" t="s">
        <v>472</v>
      </c>
      <c r="I148" s="7" t="s">
        <v>473</v>
      </c>
    </row>
    <row r="149" customFormat="false" ht="17.15" hidden="false" customHeight="false" outlineLevel="0" collapsed="false">
      <c r="A149" s="0" t="s">
        <v>474</v>
      </c>
      <c r="B149" s="0" t="s">
        <v>475</v>
      </c>
      <c r="C149" s="0" t="s">
        <v>387</v>
      </c>
      <c r="E149" s="6" t="n">
        <v>3</v>
      </c>
      <c r="G149" s="7" t="s">
        <v>26</v>
      </c>
      <c r="H149" s="2" t="s">
        <v>56</v>
      </c>
      <c r="I149" s="7" t="s">
        <v>50</v>
      </c>
    </row>
    <row r="150" customFormat="false" ht="17.15" hidden="false" customHeight="false" outlineLevel="0" collapsed="false">
      <c r="A150" s="0" t="s">
        <v>476</v>
      </c>
      <c r="B150" s="0" t="s">
        <v>477</v>
      </c>
      <c r="C150" s="0" t="s">
        <v>387</v>
      </c>
      <c r="E150" s="6" t="n">
        <v>5</v>
      </c>
      <c r="G150" s="7" t="s">
        <v>26</v>
      </c>
      <c r="H150" s="7" t="s">
        <v>478</v>
      </c>
      <c r="I150" s="7" t="s">
        <v>50</v>
      </c>
    </row>
    <row r="151" customFormat="false" ht="17.15" hidden="false" customHeight="false" outlineLevel="0" collapsed="false">
      <c r="A151" s="0" t="s">
        <v>479</v>
      </c>
      <c r="B151" s="0" t="s">
        <v>480</v>
      </c>
      <c r="C151" s="0" t="s">
        <v>47</v>
      </c>
      <c r="E151" s="6" t="n">
        <v>0.05</v>
      </c>
      <c r="G151" s="7" t="s">
        <v>26</v>
      </c>
      <c r="H151" s="2" t="s">
        <v>56</v>
      </c>
      <c r="I151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0" t="s">
        <v>481</v>
      </c>
    </row>
    <row r="2" customFormat="false" ht="17.15" hidden="false" customHeight="false" outlineLevel="0" collapsed="false">
      <c r="A2" s="2" t="s">
        <v>482</v>
      </c>
    </row>
    <row r="3" customFormat="false" ht="17.15" hidden="false" customHeight="false" outlineLevel="0" collapsed="false">
      <c r="A3" s="4" t="s">
        <v>14</v>
      </c>
      <c r="B3" s="4" t="s">
        <v>15</v>
      </c>
      <c r="C3" s="8" t="s">
        <v>483</v>
      </c>
      <c r="D3" s="8" t="s">
        <v>484</v>
      </c>
      <c r="E3" s="8" t="s">
        <v>485</v>
      </c>
      <c r="F3" s="8" t="s">
        <v>486</v>
      </c>
      <c r="G3" s="8" t="s">
        <v>487</v>
      </c>
      <c r="H3" s="8" t="s">
        <v>488</v>
      </c>
      <c r="I3" s="8" t="s">
        <v>489</v>
      </c>
      <c r="J3" s="8" t="s">
        <v>490</v>
      </c>
      <c r="K3" s="8" t="s">
        <v>491</v>
      </c>
      <c r="L3" s="8" t="s">
        <v>492</v>
      </c>
      <c r="M3" s="8" t="s">
        <v>493</v>
      </c>
    </row>
    <row r="4" customFormat="false" ht="15" hidden="false" customHeight="false" outlineLevel="0" collapsed="false">
      <c r="A4" s="2" t="s">
        <v>494</v>
      </c>
      <c r="B4" s="2" t="s">
        <v>37</v>
      </c>
      <c r="C4" s="6" t="n">
        <v>114379</v>
      </c>
      <c r="D4" s="6" t="n">
        <v>133898</v>
      </c>
      <c r="E4" s="6" t="n">
        <v>143280</v>
      </c>
      <c r="F4" s="6" t="n">
        <v>155941</v>
      </c>
      <c r="G4" s="6" t="n">
        <v>163522</v>
      </c>
      <c r="H4" s="6" t="n">
        <v>187393</v>
      </c>
      <c r="I4" s="6" t="n">
        <v>197325</v>
      </c>
      <c r="J4" s="6" t="n">
        <v>217385</v>
      </c>
      <c r="K4" s="6" t="n">
        <v>602103</v>
      </c>
      <c r="L4" s="6" t="n">
        <v>416348</v>
      </c>
      <c r="M4" s="6" t="n">
        <v>596641</v>
      </c>
    </row>
    <row r="5" customFormat="false" ht="15" hidden="false" customHeight="false" outlineLevel="0" collapsed="false">
      <c r="A5" s="2" t="s">
        <v>495</v>
      </c>
      <c r="B5" s="2" t="s">
        <v>37</v>
      </c>
      <c r="C5" s="6" t="n">
        <v>48770</v>
      </c>
      <c r="D5" s="6" t="n">
        <v>63454</v>
      </c>
      <c r="E5" s="6" t="n">
        <v>72770</v>
      </c>
      <c r="F5" s="6" t="n">
        <v>80369</v>
      </c>
      <c r="G5" s="6" t="n">
        <v>81050</v>
      </c>
      <c r="H5" s="6" t="n">
        <v>83574</v>
      </c>
      <c r="I5" s="6" t="n">
        <v>105052</v>
      </c>
      <c r="J5" s="6" t="n">
        <v>111119</v>
      </c>
      <c r="K5" s="6" t="n">
        <v>299745</v>
      </c>
      <c r="L5" s="0" t="n">
        <v>199780</v>
      </c>
      <c r="M5" s="0" t="n">
        <v>297643</v>
      </c>
    </row>
    <row r="6" customFormat="false" ht="15" hidden="false" customHeight="false" outlineLevel="0" collapsed="false">
      <c r="A6" s="2" t="s">
        <v>496</v>
      </c>
      <c r="B6" s="0" t="s">
        <v>166</v>
      </c>
      <c r="C6" s="6" t="n">
        <v>2552</v>
      </c>
      <c r="D6" s="6" t="n">
        <v>2980</v>
      </c>
      <c r="E6" s="6" t="n">
        <v>3405</v>
      </c>
      <c r="F6" s="6" t="n">
        <v>3996</v>
      </c>
      <c r="G6" s="6" t="n">
        <v>4156</v>
      </c>
      <c r="H6" s="6" t="n">
        <v>4828</v>
      </c>
      <c r="I6" s="6" t="n">
        <v>5507</v>
      </c>
      <c r="J6" s="6" t="n">
        <v>6144</v>
      </c>
      <c r="K6" s="6" t="n">
        <v>16479</v>
      </c>
      <c r="L6" s="6" t="n">
        <v>9681</v>
      </c>
      <c r="M6" s="6" t="n">
        <v>14537</v>
      </c>
    </row>
    <row r="7" customFormat="false" ht="15" hidden="false" customHeight="false" outlineLevel="0" collapsed="false">
      <c r="A7" s="2" t="s">
        <v>497</v>
      </c>
      <c r="B7" s="0" t="s">
        <v>166</v>
      </c>
      <c r="C7" s="6" t="n">
        <v>678</v>
      </c>
      <c r="D7" s="6" t="n">
        <v>863</v>
      </c>
      <c r="E7" s="6" t="n">
        <v>1024</v>
      </c>
      <c r="F7" s="6" t="n">
        <v>1177</v>
      </c>
      <c r="G7" s="6" t="n">
        <v>988</v>
      </c>
      <c r="H7" s="6" t="n">
        <v>1078</v>
      </c>
      <c r="I7" s="6" t="n">
        <v>1343</v>
      </c>
      <c r="J7" s="6" t="n">
        <v>1302</v>
      </c>
      <c r="K7" s="6" t="n">
        <v>3723</v>
      </c>
      <c r="L7" s="6" t="n">
        <v>2841</v>
      </c>
      <c r="M7" s="6" t="n">
        <v>4052</v>
      </c>
    </row>
    <row r="8" customFormat="false" ht="15" hidden="false" customHeight="false" outlineLevel="0" collapsed="false">
      <c r="A8" s="2" t="s">
        <v>498</v>
      </c>
      <c r="B8" s="0" t="s">
        <v>166</v>
      </c>
      <c r="C8" s="6" t="n">
        <v>317</v>
      </c>
      <c r="D8" s="6" t="n">
        <v>389</v>
      </c>
      <c r="E8" s="6" t="n">
        <v>411</v>
      </c>
      <c r="F8" s="6" t="n">
        <v>474</v>
      </c>
      <c r="G8" s="6" t="n">
        <v>459</v>
      </c>
      <c r="H8" s="6" t="n">
        <v>526</v>
      </c>
      <c r="I8" s="6" t="n">
        <v>526</v>
      </c>
      <c r="J8" s="6" t="n">
        <v>594</v>
      </c>
      <c r="K8" s="6" t="n">
        <v>1646</v>
      </c>
      <c r="L8" s="6" t="n">
        <v>1151</v>
      </c>
      <c r="M8" s="6" t="n">
        <v>1733</v>
      </c>
    </row>
    <row r="9" customFormat="false" ht="15" hidden="false" customHeight="false" outlineLevel="0" collapsed="false">
      <c r="A9" s="2" t="s">
        <v>499</v>
      </c>
      <c r="B9" s="0" t="s">
        <v>166</v>
      </c>
      <c r="C9" s="6" t="n">
        <v>3547</v>
      </c>
      <c r="D9" s="6" t="n">
        <v>4232</v>
      </c>
      <c r="E9" s="6" t="n">
        <v>4840</v>
      </c>
      <c r="F9" s="6" t="n">
        <v>5647</v>
      </c>
      <c r="G9" s="6" t="n">
        <v>5603</v>
      </c>
      <c r="H9" s="6" t="n">
        <v>6432</v>
      </c>
      <c r="I9" s="6" t="n">
        <v>7376</v>
      </c>
      <c r="J9" s="6" t="n">
        <v>8040</v>
      </c>
      <c r="K9" s="6" t="n">
        <v>21848</v>
      </c>
      <c r="L9" s="6" t="n">
        <v>13673</v>
      </c>
      <c r="M9" s="6" t="n">
        <v>20322</v>
      </c>
    </row>
    <row r="10" customFormat="false" ht="15" hidden="false" customHeight="false" outlineLevel="0" collapsed="false">
      <c r="A10" s="2" t="s">
        <v>500</v>
      </c>
      <c r="B10" s="0" t="s">
        <v>166</v>
      </c>
      <c r="C10" s="6" t="n">
        <v>369</v>
      </c>
      <c r="D10" s="6" t="n">
        <v>429</v>
      </c>
      <c r="E10" s="6" t="n">
        <v>521</v>
      </c>
      <c r="F10" s="6" t="n">
        <v>539</v>
      </c>
      <c r="G10" s="6" t="n">
        <v>489</v>
      </c>
      <c r="H10" s="6" t="n">
        <v>593</v>
      </c>
      <c r="I10" s="6" t="n">
        <v>700</v>
      </c>
      <c r="J10" s="6" t="n">
        <v>773</v>
      </c>
      <c r="K10" s="6" t="n">
        <v>2066</v>
      </c>
      <c r="L10" s="6" t="n">
        <v>1379</v>
      </c>
      <c r="M10" s="6" t="n">
        <v>1978</v>
      </c>
    </row>
    <row r="11" customFormat="false" ht="15" hidden="false" customHeight="false" outlineLevel="0" collapsed="false">
      <c r="A11" s="2" t="s">
        <v>501</v>
      </c>
      <c r="B11" s="0" t="s">
        <v>166</v>
      </c>
      <c r="C11" s="6" t="n">
        <v>77</v>
      </c>
      <c r="D11" s="6" t="n">
        <v>111</v>
      </c>
      <c r="E11" s="6" t="n">
        <v>132</v>
      </c>
      <c r="F11" s="6" t="n">
        <v>135</v>
      </c>
      <c r="G11" s="6" t="n">
        <v>103</v>
      </c>
      <c r="H11" s="6" t="n">
        <v>152</v>
      </c>
      <c r="I11" s="6" t="n">
        <v>158</v>
      </c>
      <c r="J11" s="6" t="n">
        <v>154</v>
      </c>
      <c r="K11" s="6" t="n">
        <v>464</v>
      </c>
      <c r="L11" s="6" t="n">
        <v>346</v>
      </c>
      <c r="M11" s="6" t="n">
        <v>481</v>
      </c>
    </row>
    <row r="12" customFormat="false" ht="15" hidden="false" customHeight="false" outlineLevel="0" collapsed="false">
      <c r="A12" s="0" t="s">
        <v>502</v>
      </c>
      <c r="B12" s="0" t="s">
        <v>166</v>
      </c>
      <c r="C12" s="6" t="n">
        <v>494</v>
      </c>
      <c r="D12" s="6" t="n">
        <v>535</v>
      </c>
      <c r="E12" s="6" t="n">
        <v>551</v>
      </c>
      <c r="F12" s="6" t="n">
        <v>595</v>
      </c>
      <c r="G12" s="6" t="n">
        <v>627</v>
      </c>
      <c r="H12" s="6" t="n">
        <v>690</v>
      </c>
      <c r="I12" s="6" t="n">
        <v>704</v>
      </c>
      <c r="J12" s="6" t="n">
        <v>805</v>
      </c>
      <c r="K12" s="6" t="n">
        <v>2199</v>
      </c>
      <c r="L12" s="6" t="n">
        <v>1874</v>
      </c>
      <c r="M12" s="6" t="n">
        <v>2308</v>
      </c>
    </row>
    <row r="13" customFormat="false" ht="15" hidden="false" customHeight="false" outlineLevel="0" collapsed="false">
      <c r="A13" s="2" t="s">
        <v>503</v>
      </c>
      <c r="B13" s="0" t="s">
        <v>166</v>
      </c>
      <c r="C13" s="6" t="n">
        <v>260</v>
      </c>
      <c r="D13" s="6" t="n">
        <v>394</v>
      </c>
      <c r="E13" s="6" t="n">
        <v>511</v>
      </c>
      <c r="F13" s="6" t="n">
        <v>552</v>
      </c>
      <c r="G13" s="6" t="n">
        <v>424</v>
      </c>
      <c r="H13" s="6" t="n">
        <v>581</v>
      </c>
      <c r="I13" s="6" t="n">
        <v>680</v>
      </c>
      <c r="J13" s="6" t="n">
        <v>714</v>
      </c>
      <c r="K13" s="6" t="n">
        <v>1975</v>
      </c>
      <c r="L13" s="6" t="n">
        <v>990</v>
      </c>
      <c r="M13" s="6" t="n">
        <v>1881</v>
      </c>
    </row>
    <row r="14" customFormat="false" ht="17.15" hidden="false" customHeight="false" outlineLevel="0" collapsed="false">
      <c r="A14" s="2" t="s">
        <v>504</v>
      </c>
      <c r="B14" s="0" t="s">
        <v>166</v>
      </c>
      <c r="C14" s="6" t="n">
        <v>74</v>
      </c>
      <c r="D14" s="6" t="n">
        <v>73</v>
      </c>
      <c r="E14" s="6" t="n">
        <v>68</v>
      </c>
      <c r="F14" s="6" t="n">
        <v>65</v>
      </c>
      <c r="G14" s="6" t="n">
        <v>69</v>
      </c>
      <c r="H14" s="6" t="n">
        <v>69</v>
      </c>
      <c r="I14" s="6" t="n">
        <v>69</v>
      </c>
      <c r="J14" s="6" t="n">
        <v>64</v>
      </c>
      <c r="K14" s="6" t="n">
        <v>202</v>
      </c>
      <c r="L14" s="6" t="n">
        <v>305</v>
      </c>
      <c r="M14" s="6" t="n">
        <v>275</v>
      </c>
    </row>
    <row r="15" customFormat="false" ht="15" hidden="false" customHeight="false" outlineLevel="0" collapsed="false">
      <c r="A15" s="2" t="s">
        <v>505</v>
      </c>
      <c r="B15" s="0" t="s">
        <v>166</v>
      </c>
      <c r="C15" s="6" t="n">
        <v>21</v>
      </c>
      <c r="D15" s="6" t="n">
        <v>26</v>
      </c>
      <c r="E15" s="6" t="n">
        <v>26</v>
      </c>
      <c r="F15" s="6" t="n">
        <v>24</v>
      </c>
      <c r="G15" s="6" t="n">
        <v>23</v>
      </c>
      <c r="H15" s="6" t="n">
        <v>27</v>
      </c>
      <c r="I15" s="6" t="n">
        <v>26</v>
      </c>
      <c r="J15" s="6" t="n">
        <v>25</v>
      </c>
      <c r="K15" s="6" t="n">
        <v>78</v>
      </c>
      <c r="L15" s="6" t="n">
        <v>92</v>
      </c>
      <c r="M15" s="6" t="n">
        <v>99</v>
      </c>
    </row>
    <row r="16" customFormat="false" ht="15" hidden="false" customHeight="false" outlineLevel="0" collapsed="false">
      <c r="A16" s="2" t="s">
        <v>506</v>
      </c>
      <c r="B16" s="0" t="s">
        <v>166</v>
      </c>
      <c r="C16" s="6" t="n">
        <v>2278</v>
      </c>
      <c r="D16" s="6" t="n">
        <v>2660</v>
      </c>
      <c r="E16" s="6" t="n">
        <v>3086</v>
      </c>
      <c r="F16" s="6" t="n">
        <v>3434</v>
      </c>
      <c r="G16" s="6" t="n">
        <v>3627</v>
      </c>
      <c r="H16" s="6" t="n">
        <v>4254</v>
      </c>
      <c r="I16" s="6" t="n">
        <v>4751</v>
      </c>
      <c r="J16" s="6" t="n">
        <v>5182</v>
      </c>
      <c r="K16" s="6" t="n">
        <v>14187</v>
      </c>
      <c r="L16" s="6" t="n">
        <v>8329</v>
      </c>
      <c r="M16" s="6" t="n">
        <v>12807</v>
      </c>
    </row>
    <row r="17" customFormat="false" ht="15" hidden="false" customHeight="false" outlineLevel="0" collapsed="false">
      <c r="A17" s="2" t="s">
        <v>507</v>
      </c>
      <c r="B17" s="0" t="s">
        <v>166</v>
      </c>
      <c r="C17" s="6" t="n">
        <v>214</v>
      </c>
      <c r="D17" s="6" t="n">
        <v>273</v>
      </c>
      <c r="E17" s="6" t="n">
        <v>274</v>
      </c>
      <c r="F17" s="6" t="n">
        <v>331</v>
      </c>
      <c r="G17" s="6" t="n">
        <v>315</v>
      </c>
      <c r="H17" s="6" t="n">
        <v>354</v>
      </c>
      <c r="I17" s="6" t="n">
        <v>349</v>
      </c>
      <c r="J17" s="6" t="n">
        <v>381</v>
      </c>
      <c r="K17" s="6" t="n">
        <v>1084</v>
      </c>
      <c r="L17" s="6" t="n">
        <v>755</v>
      </c>
      <c r="M17" s="6" t="n">
        <v>1193</v>
      </c>
    </row>
    <row r="18" customFormat="false" ht="15" hidden="false" customHeight="false" outlineLevel="0" collapsed="false">
      <c r="A18" s="2" t="s">
        <v>508</v>
      </c>
      <c r="B18" s="0" t="s">
        <v>166</v>
      </c>
      <c r="C18" s="6" t="n">
        <v>5</v>
      </c>
      <c r="D18" s="6" t="n">
        <v>5</v>
      </c>
      <c r="E18" s="6" t="n">
        <v>6</v>
      </c>
      <c r="F18" s="6" t="n">
        <v>5</v>
      </c>
      <c r="G18" s="6" t="n">
        <v>5</v>
      </c>
      <c r="H18" s="6" t="n">
        <v>5</v>
      </c>
      <c r="I18" s="6" t="n">
        <v>6</v>
      </c>
      <c r="J18" s="6" t="n">
        <v>5</v>
      </c>
      <c r="K18" s="6" t="n">
        <v>16</v>
      </c>
      <c r="L18" s="6" t="n">
        <v>21</v>
      </c>
      <c r="M18" s="6" t="n">
        <v>21</v>
      </c>
    </row>
    <row r="19" customFormat="false" ht="17.15" hidden="false" customHeight="false" outlineLevel="0" collapsed="false">
      <c r="A19" s="2" t="s">
        <v>509</v>
      </c>
      <c r="B19" s="0" t="s">
        <v>166</v>
      </c>
      <c r="C19" s="6" t="n">
        <v>359</v>
      </c>
      <c r="D19" s="6" t="n">
        <v>488</v>
      </c>
      <c r="E19" s="6" t="n">
        <v>601</v>
      </c>
      <c r="F19" s="6" t="n">
        <v>637</v>
      </c>
      <c r="G19" s="6" t="n">
        <v>511</v>
      </c>
      <c r="H19" s="6" t="n">
        <v>672</v>
      </c>
      <c r="I19" s="6" t="n">
        <v>769</v>
      </c>
      <c r="J19" s="6" t="n">
        <v>800</v>
      </c>
      <c r="K19" s="6" t="n">
        <v>2241</v>
      </c>
      <c r="L19" s="6" t="n">
        <v>1378</v>
      </c>
      <c r="M19" s="6" t="n">
        <v>2237</v>
      </c>
    </row>
    <row r="20" customFormat="false" ht="15" hidden="false" customHeight="false" outlineLevel="0" collapsed="false">
      <c r="A20" s="2" t="s">
        <v>510</v>
      </c>
      <c r="B20" s="0" t="s">
        <v>166</v>
      </c>
      <c r="C20" s="6" t="n">
        <v>148</v>
      </c>
      <c r="D20" s="6" t="n">
        <v>139</v>
      </c>
      <c r="E20" s="6" t="n">
        <v>143</v>
      </c>
      <c r="F20" s="6" t="n">
        <v>125</v>
      </c>
      <c r="G20" s="6" t="n">
        <v>98</v>
      </c>
      <c r="H20" s="6" t="n">
        <v>99</v>
      </c>
      <c r="I20" s="6" t="n">
        <v>101</v>
      </c>
      <c r="J20" s="6" t="n">
        <v>98</v>
      </c>
      <c r="K20" s="6" t="n">
        <v>298</v>
      </c>
      <c r="L20" s="6" t="n">
        <v>651</v>
      </c>
      <c r="M20" s="6" t="n">
        <v>505</v>
      </c>
    </row>
    <row r="21" customFormat="false" ht="15" hidden="false" customHeight="false" outlineLevel="0" collapsed="false">
      <c r="A21" s="2" t="s">
        <v>511</v>
      </c>
      <c r="B21" s="0" t="s">
        <v>166</v>
      </c>
      <c r="C21" s="0" t="n">
        <f aca="false">C13-C20-C22-C23</f>
        <v>-44</v>
      </c>
      <c r="D21" s="0" t="n">
        <f aca="false">D13-D20-D22-D23</f>
        <v>-120</v>
      </c>
      <c r="E21" s="0" t="n">
        <f aca="false">E13-E20-E22-E23</f>
        <v>60</v>
      </c>
      <c r="F21" s="0" t="n">
        <f aca="false">F13-F20-F22-F23</f>
        <v>168</v>
      </c>
      <c r="G21" s="0" t="n">
        <f aca="false">G13-G20-G22-G23</f>
        <v>2158</v>
      </c>
      <c r="H21" s="0" t="n">
        <f aca="false">H13-H20-H22-H23</f>
        <v>41</v>
      </c>
      <c r="I21" s="0" t="n">
        <f aca="false">I13-I20-I22-I23</f>
        <v>0</v>
      </c>
      <c r="J21" s="0" t="n">
        <f aca="false">J13-J20-J22-J23</f>
        <v>64</v>
      </c>
      <c r="K21" s="0" t="n">
        <f aca="false">K13-K20-K22-K23</f>
        <v>105</v>
      </c>
      <c r="L21" s="0" t="n">
        <f aca="false">L13-L20-L22-L23</f>
        <v>-61</v>
      </c>
      <c r="M21" s="0" t="n">
        <f aca="false">M13-M20-M22-M23</f>
        <v>2266</v>
      </c>
    </row>
    <row r="22" customFormat="false" ht="15" hidden="false" customHeight="false" outlineLevel="0" collapsed="false">
      <c r="A22" s="2" t="s">
        <v>512</v>
      </c>
      <c r="B22" s="0" t="s">
        <v>166</v>
      </c>
      <c r="C22" s="6" t="n">
        <v>-3</v>
      </c>
      <c r="D22" s="6" t="n">
        <v>2</v>
      </c>
      <c r="E22" s="6" t="n">
        <v>0</v>
      </c>
      <c r="F22" s="6" t="n">
        <v>-4</v>
      </c>
      <c r="G22" s="6" t="n">
        <v>-2783</v>
      </c>
      <c r="H22" s="6" t="n">
        <v>36</v>
      </c>
      <c r="I22" s="6" t="n">
        <v>66</v>
      </c>
      <c r="J22" s="6" t="n">
        <v>69</v>
      </c>
      <c r="K22" s="6" t="n">
        <v>171</v>
      </c>
      <c r="L22" s="6" t="n">
        <v>-4</v>
      </c>
      <c r="M22" s="6" t="n">
        <v>-2785</v>
      </c>
    </row>
    <row r="23" customFormat="false" ht="15" hidden="false" customHeight="false" outlineLevel="0" collapsed="false">
      <c r="A23" s="2" t="s">
        <v>513</v>
      </c>
      <c r="B23" s="0" t="s">
        <v>166</v>
      </c>
      <c r="C23" s="6" t="n">
        <v>159</v>
      </c>
      <c r="D23" s="6" t="n">
        <v>373</v>
      </c>
      <c r="E23" s="6" t="n">
        <v>308</v>
      </c>
      <c r="F23" s="6" t="n">
        <v>263</v>
      </c>
      <c r="G23" s="6" t="n">
        <v>951</v>
      </c>
      <c r="H23" s="6" t="n">
        <v>405</v>
      </c>
      <c r="I23" s="6" t="n">
        <v>513</v>
      </c>
      <c r="J23" s="6" t="n">
        <v>483</v>
      </c>
      <c r="K23" s="6" t="n">
        <v>1401</v>
      </c>
      <c r="L23" s="6" t="n">
        <v>404</v>
      </c>
      <c r="M23" s="6" t="n">
        <v>1895</v>
      </c>
    </row>
    <row r="24" customFormat="false" ht="17.15" hidden="false" customHeight="false" outlineLevel="0" collapsed="false">
      <c r="A24" s="2" t="s">
        <v>514</v>
      </c>
      <c r="B24" s="0" t="s">
        <v>166</v>
      </c>
      <c r="C24" s="6" t="n">
        <v>59</v>
      </c>
      <c r="D24" s="6" t="n">
        <v>72</v>
      </c>
      <c r="E24" s="6" t="n">
        <v>83</v>
      </c>
      <c r="F24" s="6" t="n">
        <v>93</v>
      </c>
      <c r="G24" s="6" t="n">
        <v>99</v>
      </c>
      <c r="H24" s="6" t="n">
        <v>114</v>
      </c>
      <c r="I24" s="6" t="n">
        <v>117</v>
      </c>
      <c r="J24" s="6" t="n">
        <v>129</v>
      </c>
      <c r="K24" s="6" t="n">
        <v>360</v>
      </c>
      <c r="L24" s="0" t="n">
        <v>200</v>
      </c>
      <c r="M24" s="0" t="n">
        <v>347</v>
      </c>
    </row>
    <row r="25" customFormat="false" ht="15" hidden="false" customHeight="false" outlineLevel="0" collapsed="false">
      <c r="A25" s="2" t="s">
        <v>515</v>
      </c>
      <c r="B25" s="0" t="s">
        <v>166</v>
      </c>
      <c r="C25" s="6" t="n">
        <v>24</v>
      </c>
      <c r="D25" s="6" t="n">
        <v>27</v>
      </c>
      <c r="E25" s="6" t="n">
        <v>31</v>
      </c>
      <c r="F25" s="6" t="n">
        <v>38</v>
      </c>
      <c r="G25" s="6" t="n">
        <v>51</v>
      </c>
      <c r="H25" s="6" t="n">
        <v>51</v>
      </c>
      <c r="I25" s="6" t="n">
        <v>51</v>
      </c>
      <c r="J25" s="6" t="n">
        <v>64</v>
      </c>
      <c r="K25" s="6" t="n">
        <v>166</v>
      </c>
      <c r="L25" s="6" t="n">
        <v>91</v>
      </c>
      <c r="M25" s="6" t="n">
        <v>147</v>
      </c>
    </row>
    <row r="26" customFormat="false" ht="15" hidden="false" customHeight="false" outlineLevel="0" collapsed="false">
      <c r="A26" s="2" t="s">
        <v>516</v>
      </c>
      <c r="B26" s="0" t="s">
        <v>166</v>
      </c>
      <c r="C26" s="6" t="n">
        <v>60</v>
      </c>
      <c r="D26" s="6" t="n">
        <v>232</v>
      </c>
      <c r="E26" s="6" t="n">
        <v>29</v>
      </c>
      <c r="F26" s="6" t="n">
        <v>345</v>
      </c>
      <c r="G26" s="6" t="n">
        <v>430</v>
      </c>
      <c r="H26" s="6" t="n">
        <v>107</v>
      </c>
      <c r="I26" s="6" t="n">
        <v>238</v>
      </c>
      <c r="J26" s="6" t="n">
        <v>555</v>
      </c>
      <c r="K26" s="6" t="n">
        <v>900</v>
      </c>
      <c r="L26" s="6" t="n">
        <v>918</v>
      </c>
      <c r="M26" s="6" t="n">
        <v>1036</v>
      </c>
    </row>
    <row r="27" customFormat="false" ht="15" hidden="false" customHeight="false" outlineLevel="0" collapsed="false">
      <c r="A27" s="2" t="s">
        <v>517</v>
      </c>
      <c r="B27" s="0" t="s">
        <v>166</v>
      </c>
      <c r="C27" s="6" t="n">
        <v>1716</v>
      </c>
      <c r="D27" s="6" t="n">
        <v>1858</v>
      </c>
      <c r="E27" s="6" t="n">
        <v>1857</v>
      </c>
      <c r="F27" s="6" t="n">
        <v>2142</v>
      </c>
      <c r="G27" s="6" t="n">
        <v>2327</v>
      </c>
      <c r="H27" s="6" t="n">
        <v>2410</v>
      </c>
      <c r="I27" s="6" t="n">
        <v>2630</v>
      </c>
      <c r="J27" s="6" t="n">
        <v>3049</v>
      </c>
      <c r="K27" s="6" t="n">
        <v>3049</v>
      </c>
      <c r="L27" s="0" t="n">
        <v>1716</v>
      </c>
      <c r="M27" s="0" t="n">
        <v>2327</v>
      </c>
    </row>
    <row r="28" customFormat="false" ht="15" hidden="false" customHeight="false" outlineLevel="0" collapsed="false">
      <c r="A28" s="2" t="s">
        <v>518</v>
      </c>
      <c r="B28" s="0" t="s">
        <v>166</v>
      </c>
      <c r="C28" s="6" t="n">
        <v>1608</v>
      </c>
      <c r="D28" s="6" t="n">
        <v>1503</v>
      </c>
      <c r="E28" s="6" t="n">
        <v>2023</v>
      </c>
      <c r="F28" s="6" t="n">
        <v>2316</v>
      </c>
      <c r="G28" s="6" t="n">
        <v>2408</v>
      </c>
      <c r="H28" s="6" t="n">
        <v>2664</v>
      </c>
      <c r="I28" s="6" t="n">
        <v>3263</v>
      </c>
      <c r="J28" s="6" t="n">
        <v>3456</v>
      </c>
      <c r="K28" s="6" t="n">
        <v>3456</v>
      </c>
      <c r="L28" s="0" t="n">
        <v>1608</v>
      </c>
      <c r="M28" s="0" t="n">
        <v>2408</v>
      </c>
    </row>
    <row r="29" customFormat="false" ht="15" hidden="false" customHeight="false" outlineLevel="0" collapsed="false">
      <c r="A29" s="2" t="s">
        <v>519</v>
      </c>
      <c r="B29" s="0" t="s">
        <v>166</v>
      </c>
      <c r="C29" s="6" t="n">
        <v>612</v>
      </c>
      <c r="D29" s="6" t="n">
        <v>737</v>
      </c>
      <c r="E29" s="6" t="n">
        <v>767</v>
      </c>
      <c r="F29" s="6" t="n">
        <v>724</v>
      </c>
      <c r="G29" s="6" t="n">
        <v>813</v>
      </c>
      <c r="H29" s="6" t="n">
        <v>982</v>
      </c>
      <c r="I29" s="6" t="n">
        <v>921</v>
      </c>
      <c r="J29" s="6" t="n">
        <v>896</v>
      </c>
      <c r="K29" s="6" t="n">
        <v>896</v>
      </c>
      <c r="L29" s="0" t="n">
        <v>612</v>
      </c>
      <c r="M29" s="0" t="n">
        <v>813</v>
      </c>
    </row>
    <row r="30" customFormat="false" ht="15" hidden="false" customHeight="false" outlineLevel="0" collapsed="false">
      <c r="A30" s="2" t="s">
        <v>520</v>
      </c>
      <c r="B30" s="0" t="s">
        <v>166</v>
      </c>
      <c r="C30" s="6" t="n">
        <v>464</v>
      </c>
      <c r="D30" s="6" t="n">
        <v>475</v>
      </c>
      <c r="E30" s="6" t="n">
        <v>466</v>
      </c>
      <c r="F30" s="6" t="n">
        <v>486</v>
      </c>
      <c r="G30" s="6" t="n">
        <v>486</v>
      </c>
      <c r="H30" s="6" t="n">
        <v>492</v>
      </c>
      <c r="I30" s="6" t="n">
        <v>502</v>
      </c>
      <c r="J30" s="6" t="n">
        <v>557</v>
      </c>
      <c r="K30" s="6" t="n">
        <v>557</v>
      </c>
      <c r="L30" s="0" t="n">
        <v>464</v>
      </c>
      <c r="M30" s="0" t="n">
        <v>486</v>
      </c>
    </row>
    <row r="31" customFormat="false" ht="15" hidden="false" customHeight="false" outlineLevel="0" collapsed="false">
      <c r="A31" s="2" t="s">
        <v>521</v>
      </c>
      <c r="B31" s="0" t="s">
        <v>166</v>
      </c>
      <c r="C31" s="6" t="n">
        <v>5632</v>
      </c>
      <c r="D31" s="6" t="n">
        <v>5641</v>
      </c>
      <c r="E31" s="6" t="n">
        <v>5707</v>
      </c>
      <c r="F31" s="6" t="n">
        <v>5203</v>
      </c>
      <c r="G31" s="6" t="n">
        <v>5115</v>
      </c>
      <c r="H31" s="6" t="n">
        <v>5154</v>
      </c>
      <c r="I31" s="6" t="n">
        <v>5236</v>
      </c>
      <c r="J31" s="6" t="n">
        <v>5228</v>
      </c>
      <c r="K31" s="6" t="n">
        <v>5228</v>
      </c>
      <c r="L31" s="0" t="n">
        <v>5632</v>
      </c>
      <c r="M31" s="0" t="n">
        <v>5115</v>
      </c>
    </row>
    <row r="32" customFormat="false" ht="15" hidden="false" customHeight="false" outlineLevel="0" collapsed="false">
      <c r="A32" s="2" t="s">
        <v>522</v>
      </c>
      <c r="B32" s="0" t="s">
        <v>166</v>
      </c>
      <c r="C32" s="6" t="n">
        <v>1375</v>
      </c>
      <c r="D32" s="6" t="n">
        <v>1773</v>
      </c>
      <c r="E32" s="6" t="n">
        <v>2117</v>
      </c>
      <c r="F32" s="6" t="n">
        <v>2951</v>
      </c>
      <c r="G32" s="6" t="n">
        <v>4203</v>
      </c>
      <c r="H32" s="6" t="n">
        <v>4632</v>
      </c>
      <c r="I32" s="6" t="n">
        <v>5138</v>
      </c>
      <c r="J32" s="6" t="n">
        <v>5653</v>
      </c>
      <c r="K32" s="6" t="n">
        <v>5653</v>
      </c>
      <c r="L32" s="0" t="n">
        <v>1375</v>
      </c>
      <c r="M32" s="0" t="n">
        <v>4203</v>
      </c>
    </row>
    <row r="33" customFormat="false" ht="15" hidden="false" customHeight="false" outlineLevel="0" collapsed="false">
      <c r="A33" s="2" t="s">
        <v>523</v>
      </c>
      <c r="B33" s="0" t="s">
        <v>166</v>
      </c>
      <c r="C33" s="6" t="n">
        <v>5690</v>
      </c>
      <c r="D33" s="6" t="n">
        <v>5861</v>
      </c>
      <c r="E33" s="6" t="n">
        <v>5981</v>
      </c>
      <c r="F33" s="6" t="n">
        <v>6438</v>
      </c>
      <c r="G33" s="6" t="n">
        <v>6739</v>
      </c>
      <c r="H33" s="6" t="n">
        <v>6910</v>
      </c>
      <c r="I33" s="6" t="n">
        <v>7024</v>
      </c>
      <c r="J33" s="6" t="n">
        <v>7503</v>
      </c>
      <c r="K33" s="6" t="n">
        <v>7503</v>
      </c>
      <c r="L33" s="0" t="n">
        <v>5690</v>
      </c>
      <c r="M33" s="0" t="n">
        <v>6739</v>
      </c>
    </row>
    <row r="34" customFormat="false" ht="15" hidden="false" customHeight="false" outlineLevel="0" collapsed="false">
      <c r="A34" s="2" t="s">
        <v>524</v>
      </c>
      <c r="B34" s="0" t="s">
        <v>166</v>
      </c>
      <c r="C34" s="0" t="n">
        <f aca="false">C8</f>
        <v>317</v>
      </c>
      <c r="D34" s="0" t="n">
        <f aca="false">D8</f>
        <v>389</v>
      </c>
      <c r="E34" s="0" t="n">
        <f aca="false">E8</f>
        <v>411</v>
      </c>
      <c r="F34" s="0" t="n">
        <f aca="false">F8</f>
        <v>474</v>
      </c>
      <c r="G34" s="0" t="n">
        <f aca="false">G8</f>
        <v>459</v>
      </c>
      <c r="H34" s="0" t="n">
        <f aca="false">H8</f>
        <v>526</v>
      </c>
      <c r="I34" s="0" t="n">
        <f aca="false">I8</f>
        <v>526</v>
      </c>
      <c r="J34" s="0" t="n">
        <f aca="false">J8</f>
        <v>594</v>
      </c>
      <c r="K34" s="0" t="n">
        <f aca="false">K8</f>
        <v>1646</v>
      </c>
      <c r="L34" s="0" t="n">
        <f aca="false">L8</f>
        <v>1151</v>
      </c>
      <c r="M34" s="0" t="n">
        <f aca="false">M8</f>
        <v>1733</v>
      </c>
    </row>
    <row r="35" customFormat="false" ht="15" hidden="false" customHeight="false" outlineLevel="0" collapsed="false">
      <c r="A35" s="2" t="s">
        <v>525</v>
      </c>
      <c r="B35" s="0" t="s">
        <v>166</v>
      </c>
      <c r="C35" s="0" t="n">
        <f aca="false">C10+C11+C34</f>
        <v>763</v>
      </c>
      <c r="D35" s="0" t="n">
        <f aca="false">D10+D11+D34</f>
        <v>929</v>
      </c>
      <c r="E35" s="0" t="n">
        <f aca="false">E10+E11+E34</f>
        <v>1064</v>
      </c>
      <c r="F35" s="0" t="n">
        <f aca="false">F10+F11+F34</f>
        <v>1148</v>
      </c>
      <c r="G35" s="0" t="n">
        <f aca="false">G10+G11+G34</f>
        <v>1051</v>
      </c>
      <c r="H35" s="0" t="n">
        <f aca="false">H10+H11+H34</f>
        <v>1271</v>
      </c>
      <c r="I35" s="0" t="n">
        <f aca="false">I10+I11+I34</f>
        <v>1384</v>
      </c>
      <c r="J35" s="0" t="n">
        <f aca="false">J10+J11+J34</f>
        <v>1521</v>
      </c>
      <c r="K35" s="0" t="n">
        <f aca="false">K10+K11+K34</f>
        <v>4176</v>
      </c>
      <c r="L35" s="0" t="n">
        <f aca="false">L10+L11+L34</f>
        <v>2876</v>
      </c>
      <c r="M35" s="0" t="n">
        <f aca="false">M10+M11+M34</f>
        <v>4192</v>
      </c>
    </row>
    <row r="36" customFormat="false" ht="15" hidden="false" customHeight="false" outlineLevel="0" collapsed="false">
      <c r="A36" s="2" t="s">
        <v>526</v>
      </c>
      <c r="B36" s="0" t="s">
        <v>166</v>
      </c>
      <c r="C36" s="0" t="n">
        <f aca="false">C6+C7+C8-C9</f>
        <v>0</v>
      </c>
      <c r="D36" s="0" t="n">
        <f aca="false">D6+D7+D8-D9</f>
        <v>0</v>
      </c>
      <c r="E36" s="0" t="n">
        <f aca="false">E6+E7+E8-E9</f>
        <v>0</v>
      </c>
      <c r="F36" s="0" t="n">
        <f aca="false">F6+F7+F8-F9</f>
        <v>0</v>
      </c>
      <c r="G36" s="0" t="n">
        <f aca="false">G6+G7+G8-G9</f>
        <v>0</v>
      </c>
      <c r="H36" s="0" t="n">
        <f aca="false">H6+H7+H8-H9</f>
        <v>0</v>
      </c>
      <c r="I36" s="0" t="n">
        <f aca="false">I6+I7+I8-I9</f>
        <v>0</v>
      </c>
      <c r="J36" s="0" t="n">
        <f aca="false">J6+J7+J8-J9</f>
        <v>0</v>
      </c>
      <c r="K36" s="0" t="n">
        <f aca="false">K6+K7+K8-K9</f>
        <v>0</v>
      </c>
      <c r="L36" s="0" t="n">
        <f aca="false">L6+L7+L8-L9</f>
        <v>0</v>
      </c>
      <c r="M36" s="0" t="n">
        <f aca="false">M6+M7+M8-M9</f>
        <v>0</v>
      </c>
    </row>
    <row r="37" customFormat="false" ht="17.15" hidden="false" customHeight="false" outlineLevel="0" collapsed="false">
      <c r="A37" s="2" t="s">
        <v>527</v>
      </c>
      <c r="B37" s="0" t="s">
        <v>166</v>
      </c>
      <c r="C37" s="0" t="n">
        <f aca="false">C13+C38+C14+C15-C18-C19</f>
        <v>0</v>
      </c>
      <c r="D37" s="0" t="n">
        <f aca="false">D13+D38+D14+D15-D18-D19</f>
        <v>0</v>
      </c>
      <c r="E37" s="0" t="n">
        <f aca="false">E13+E38+E14+E15-E18-E19</f>
        <v>0</v>
      </c>
      <c r="F37" s="0" t="n">
        <f aca="false">F13+F38+F14+F15-F18-F19</f>
        <v>0</v>
      </c>
      <c r="G37" s="0" t="n">
        <f aca="false">G13+G38+G14+G15-G18-G19</f>
        <v>0</v>
      </c>
      <c r="H37" s="0" t="n">
        <f aca="false">H13+H38+H14+H15-H18-H19</f>
        <v>0</v>
      </c>
      <c r="I37" s="0" t="n">
        <f aca="false">I13+I38+I14+I15-I18-I19</f>
        <v>0</v>
      </c>
      <c r="J37" s="0" t="n">
        <f aca="false">J13+J38+J14+J15-J18-J19</f>
        <v>0</v>
      </c>
      <c r="K37" s="0" t="n">
        <f aca="false">K13+K38+K14+K15-K18-K19</f>
        <v>0</v>
      </c>
      <c r="L37" s="0" t="n">
        <f aca="false">L13+L38+L14+L15-L18-L19</f>
        <v>0</v>
      </c>
      <c r="M37" s="0" t="n">
        <f aca="false">M13+M38+M14+M15-M18-M19</f>
        <v>0</v>
      </c>
    </row>
    <row r="38" customFormat="false" ht="15" hidden="false" customHeight="false" outlineLevel="0" collapsed="false">
      <c r="A38" s="2" t="s">
        <v>528</v>
      </c>
      <c r="B38" s="0" t="s">
        <v>166</v>
      </c>
      <c r="C38" s="0" t="n">
        <f aca="false">C35-C12-C13</f>
        <v>9</v>
      </c>
      <c r="D38" s="0" t="n">
        <f aca="false">D35-D12-D13</f>
        <v>0</v>
      </c>
      <c r="E38" s="0" t="n">
        <f aca="false">E35-E12-E13</f>
        <v>2</v>
      </c>
      <c r="F38" s="0" t="n">
        <f aca="false">F35-F12-F13</f>
        <v>1</v>
      </c>
      <c r="G38" s="0" t="n">
        <f aca="false">G35-G12-G13</f>
        <v>0</v>
      </c>
      <c r="H38" s="0" t="n">
        <f aca="false">H35-H12-H13</f>
        <v>0</v>
      </c>
      <c r="I38" s="0" t="n">
        <f aca="false">I35-I12-I13</f>
        <v>0</v>
      </c>
      <c r="J38" s="0" t="n">
        <f aca="false">J35-J12-J13</f>
        <v>2</v>
      </c>
      <c r="K38" s="0" t="n">
        <f aca="false">K35-K12-K13</f>
        <v>2</v>
      </c>
      <c r="L38" s="0" t="n">
        <f aca="false">L35-L12-L13</f>
        <v>12</v>
      </c>
      <c r="M38" s="0" t="n">
        <f aca="false">M35-M12-M13</f>
        <v>3</v>
      </c>
    </row>
    <row r="39" customFormat="false" ht="15" hidden="false" customHeight="false" outlineLevel="0" collapsed="false">
      <c r="A39" s="2" t="s">
        <v>529</v>
      </c>
      <c r="B39" s="0" t="s">
        <v>47</v>
      </c>
      <c r="C39" s="0" t="n">
        <f aca="false">IF(C16&gt;0,C17/C16,"")</f>
        <v>0.0939420544337138</v>
      </c>
      <c r="D39" s="0" t="n">
        <f aca="false">IF(D16&gt;0,D17/D16,"")</f>
        <v>0.102631578947368</v>
      </c>
      <c r="E39" s="0" t="n">
        <f aca="false">IF(E16&gt;0,E17/E16,"")</f>
        <v>0.0887880751782242</v>
      </c>
      <c r="F39" s="0" t="n">
        <f aca="false">IF(F16&gt;0,F17/F16,"")</f>
        <v>0.0963890506697729</v>
      </c>
      <c r="G39" s="0" t="n">
        <f aca="false">IF(G16&gt;0,G17/G16,"")</f>
        <v>0.086848635235732</v>
      </c>
      <c r="H39" s="0" t="n">
        <f aca="false">IF(H16&gt;0,H17/H16,"")</f>
        <v>0.0832157968970381</v>
      </c>
      <c r="I39" s="0" t="n">
        <f aca="false">IF(I16&gt;0,I17/I16,"")</f>
        <v>0.0734582193222479</v>
      </c>
      <c r="J39" s="0" t="n">
        <f aca="false">IF(J16&gt;0,J17/J16,"")</f>
        <v>0.0735237360092628</v>
      </c>
      <c r="K39" s="0" t="n">
        <f aca="false">IF(K16&gt;0,K17/K16,"")</f>
        <v>0.0764079791358286</v>
      </c>
      <c r="L39" s="0" t="n">
        <f aca="false">IF(L16&gt;0,L17/L16,"")</f>
        <v>0.0906471365109857</v>
      </c>
      <c r="M39" s="0" t="n">
        <f aca="false">IF(M16&gt;0,M17/M16,"")</f>
        <v>0.0931521824002499</v>
      </c>
    </row>
    <row r="40" customFormat="false" ht="15" hidden="false" customHeight="false" outlineLevel="0" collapsed="false">
      <c r="A40" s="2" t="s">
        <v>530</v>
      </c>
      <c r="B40" s="0" t="s">
        <v>25</v>
      </c>
      <c r="C40" s="0" t="n">
        <f aca="false">C35*1000000/C4</f>
        <v>6670.80495545511</v>
      </c>
      <c r="D40" s="0" t="n">
        <f aca="false">D35*1000000/D4</f>
        <v>6938.1170741908</v>
      </c>
      <c r="E40" s="0" t="n">
        <f aca="false">E35*1000000/E4</f>
        <v>7426.01898380793</v>
      </c>
      <c r="F40" s="0" t="n">
        <f aca="false">F35*1000000/F4</f>
        <v>7361.75861383472</v>
      </c>
      <c r="G40" s="0" t="n">
        <f aca="false">G35*1000000/G4</f>
        <v>6427.26972517459</v>
      </c>
      <c r="H40" s="0" t="n">
        <f aca="false">H35*1000000/H4</f>
        <v>6782.53723458187</v>
      </c>
      <c r="I40" s="0" t="n">
        <f aca="false">I35*1000000/I4</f>
        <v>7013.80970480172</v>
      </c>
      <c r="J40" s="0" t="n">
        <f aca="false">J35*1000000/J4</f>
        <v>6996.80290728431</v>
      </c>
      <c r="K40" s="0" t="n">
        <f aca="false">K35*1000000/K4</f>
        <v>6935.69040513002</v>
      </c>
      <c r="L40" s="0" t="n">
        <f aca="false">L35*1000000/L4</f>
        <v>6907.68299595531</v>
      </c>
      <c r="M40" s="0" t="n">
        <f aca="false">M35*1000000/M4</f>
        <v>7026.00055980062</v>
      </c>
    </row>
    <row r="41" customFormat="false" ht="15" hidden="false" customHeight="false" outlineLevel="0" collapsed="false">
      <c r="A41" s="2" t="s">
        <v>531</v>
      </c>
      <c r="B41" s="0" t="s">
        <v>25</v>
      </c>
      <c r="C41" s="0" t="n">
        <f aca="false">C10*1000000/C4</f>
        <v>3226.11668225811</v>
      </c>
      <c r="D41" s="0" t="n">
        <f aca="false">D10*1000000/D4</f>
        <v>3203.93135072966</v>
      </c>
      <c r="E41" s="0" t="n">
        <f aca="false">E10*1000000/E4</f>
        <v>3636.23673925181</v>
      </c>
      <c r="F41" s="0" t="n">
        <f aca="false">F10*1000000/F4</f>
        <v>3456.43544673947</v>
      </c>
      <c r="G41" s="0" t="n">
        <f aca="false">G10*1000000/G4</f>
        <v>2990.42330695564</v>
      </c>
      <c r="H41" s="0" t="n">
        <f aca="false">H10*1000000/H4</f>
        <v>3164.47252565464</v>
      </c>
      <c r="I41" s="0" t="n">
        <f aca="false">I10*1000000/I4</f>
        <v>3547.44710502977</v>
      </c>
      <c r="J41" s="0" t="n">
        <f aca="false">J10*1000000/J4</f>
        <v>3555.90312119051</v>
      </c>
      <c r="K41" s="0" t="n">
        <f aca="false">K10*1000000/K4</f>
        <v>3431.30660368741</v>
      </c>
      <c r="L41" s="0" t="n">
        <f aca="false">L10*1000000/L4</f>
        <v>3312.13311940972</v>
      </c>
      <c r="M41" s="0" t="n">
        <f aca="false">M10*1000000/M4</f>
        <v>3315.22640918073</v>
      </c>
    </row>
    <row r="42" customFormat="false" ht="15" hidden="false" customHeight="false" outlineLevel="0" collapsed="false">
      <c r="A42" s="2" t="s">
        <v>532</v>
      </c>
      <c r="B42" s="0" t="s">
        <v>25</v>
      </c>
      <c r="C42" s="0" t="n">
        <f aca="false">C34*1000000/C4</f>
        <v>2771.4877731052</v>
      </c>
      <c r="D42" s="0" t="n">
        <f aca="false">D34*1000000/D4</f>
        <v>2905.19649285277</v>
      </c>
      <c r="E42" s="0" t="n">
        <f aca="false">E34*1000000/E4</f>
        <v>2868.50921273032</v>
      </c>
      <c r="F42" s="0" t="n">
        <f aca="false">F34*1000000/F4</f>
        <v>3039.61113498054</v>
      </c>
      <c r="G42" s="0" t="n">
        <f aca="false">G34*1000000/G4</f>
        <v>2806.96175438167</v>
      </c>
      <c r="H42" s="0" t="n">
        <f aca="false">H34*1000000/H4</f>
        <v>2806.93515766331</v>
      </c>
      <c r="I42" s="0" t="n">
        <f aca="false">I34*1000000/I4</f>
        <v>2665.65311035094</v>
      </c>
      <c r="J42" s="0" t="n">
        <f aca="false">J34*1000000/J4</f>
        <v>2732.47924189802</v>
      </c>
      <c r="K42" s="0" t="n">
        <f aca="false">K34*1000000/K4</f>
        <v>2733.75153420594</v>
      </c>
      <c r="L42" s="0" t="n">
        <f aca="false">L34*1000000/L4</f>
        <v>2764.51430053705</v>
      </c>
      <c r="M42" s="0" t="n">
        <f aca="false">M34*1000000/M4</f>
        <v>2904.59421997483</v>
      </c>
    </row>
    <row r="43" customFormat="false" ht="17.15" hidden="false" customHeight="false" outlineLevel="0" collapsed="false">
      <c r="A43" s="0" t="s">
        <v>533</v>
      </c>
      <c r="B43" s="0" t="s">
        <v>25</v>
      </c>
      <c r="C43" s="0" t="n">
        <f aca="false">C12*1000000/C4</f>
        <v>4318.97463695259</v>
      </c>
      <c r="D43" s="0" t="n">
        <f aca="false">D12*1000000/D4</f>
        <v>3995.57872410342</v>
      </c>
      <c r="E43" s="0" t="n">
        <f aca="false">E12*1000000/E4</f>
        <v>3845.61697375768</v>
      </c>
      <c r="F43" s="0" t="n">
        <f aca="false">F12*1000000/F4</f>
        <v>3815.54562302409</v>
      </c>
      <c r="G43" s="0" t="n">
        <f aca="false">G12*1000000/G4</f>
        <v>3834.34644879588</v>
      </c>
      <c r="H43" s="0" t="n">
        <f aca="false">H12*1000000/H4</f>
        <v>3682.10125244806</v>
      </c>
      <c r="I43" s="0" t="n">
        <f aca="false">I12*1000000/I4</f>
        <v>3567.71823134423</v>
      </c>
      <c r="J43" s="0" t="n">
        <f aca="false">J12*1000000/J4</f>
        <v>3703.10739011431</v>
      </c>
      <c r="K43" s="0" t="n">
        <f aca="false">K12*1000000/K4</f>
        <v>3652.19904235654</v>
      </c>
      <c r="L43" s="0" t="n">
        <f aca="false">L12*1000000/L4</f>
        <v>4501.0423972254</v>
      </c>
      <c r="M43" s="0" t="n">
        <f aca="false">M12*1000000/M4</f>
        <v>3868.32282729481</v>
      </c>
    </row>
    <row r="44" customFormat="false" ht="17.15" hidden="false" customHeight="false" outlineLevel="0" collapsed="false">
      <c r="A44" s="2" t="s">
        <v>534</v>
      </c>
      <c r="B44" s="0" t="s">
        <v>47</v>
      </c>
      <c r="C44" s="0" t="n">
        <f aca="false">C19/C9</f>
        <v>0.101212292077812</v>
      </c>
      <c r="D44" s="0" t="n">
        <f aca="false">D19/D9</f>
        <v>0.11531190926276</v>
      </c>
      <c r="E44" s="0" t="n">
        <f aca="false">E19/E9</f>
        <v>0.124173553719008</v>
      </c>
      <c r="F44" s="0" t="n">
        <f aca="false">F19/F9</f>
        <v>0.112803258367275</v>
      </c>
      <c r="G44" s="0" t="n">
        <f aca="false">G19/G9</f>
        <v>0.0912011422452258</v>
      </c>
      <c r="H44" s="0" t="n">
        <f aca="false">H19/H9</f>
        <v>0.104477611940299</v>
      </c>
      <c r="I44" s="0" t="n">
        <f aca="false">I19/I9</f>
        <v>0.10425704989154</v>
      </c>
      <c r="J44" s="0" t="n">
        <f aca="false">J19/J9</f>
        <v>0.0995024875621891</v>
      </c>
      <c r="K44" s="0" t="n">
        <f aca="false">K19/K9</f>
        <v>0.102572317832296</v>
      </c>
      <c r="L44" s="0" t="n">
        <f aca="false">L19/L9</f>
        <v>0.100782564177576</v>
      </c>
      <c r="M44" s="0" t="n">
        <f aca="false">M19/M9</f>
        <v>0.110077748253125</v>
      </c>
    </row>
    <row r="45" customFormat="false" ht="17.15" hidden="false" customHeight="false" outlineLevel="0" collapsed="false">
      <c r="A45" s="2" t="s">
        <v>535</v>
      </c>
      <c r="B45" s="0" t="s">
        <v>47</v>
      </c>
      <c r="C45" s="0" t="n">
        <f aca="false">C17/C19</f>
        <v>0.596100278551532</v>
      </c>
      <c r="D45" s="0" t="n">
        <f aca="false">D17/D19</f>
        <v>0.559426229508197</v>
      </c>
      <c r="E45" s="0" t="n">
        <f aca="false">E17/E19</f>
        <v>0.455906821963394</v>
      </c>
      <c r="F45" s="0" t="n">
        <f aca="false">F17/F19</f>
        <v>0.519623233908948</v>
      </c>
      <c r="G45" s="0" t="n">
        <f aca="false">G17/G19</f>
        <v>0.616438356164384</v>
      </c>
      <c r="H45" s="0" t="n">
        <f aca="false">H17/H19</f>
        <v>0.526785714285714</v>
      </c>
      <c r="I45" s="0" t="n">
        <f aca="false">I17/I19</f>
        <v>0.453836150845254</v>
      </c>
      <c r="J45" s="0" t="n">
        <f aca="false">J17/J19</f>
        <v>0.47625</v>
      </c>
      <c r="K45" s="0" t="n">
        <f aca="false">K17/K19</f>
        <v>0.483712628290942</v>
      </c>
      <c r="L45" s="0" t="n">
        <f aca="false">L17/L19</f>
        <v>0.547895500725689</v>
      </c>
      <c r="M45" s="0" t="n">
        <f aca="false">M17/M19</f>
        <v>0.533303531515422</v>
      </c>
    </row>
    <row r="46" customFormat="false" ht="17.15" hidden="false" customHeight="false" outlineLevel="0" collapsed="false">
      <c r="A46" s="2" t="s">
        <v>536</v>
      </c>
      <c r="B46" s="0" t="s">
        <v>47</v>
      </c>
      <c r="C46" s="0" t="n">
        <f aca="false">IF(C24="","",(C17+C24)/C19)</f>
        <v>0.760445682451253</v>
      </c>
      <c r="D46" s="0" t="n">
        <f aca="false">IF(D24="","",(D17+D24)/D19)</f>
        <v>0.706967213114754</v>
      </c>
      <c r="E46" s="0" t="n">
        <f aca="false">IF(E24="","",(E17+E24)/E19)</f>
        <v>0.594009983361065</v>
      </c>
      <c r="F46" s="0" t="n">
        <f aca="false">IF(F24="","",(F17+F24)/F19)</f>
        <v>0.665620094191523</v>
      </c>
      <c r="G46" s="0" t="n">
        <f aca="false">IF(G24="","",(G17+G24)/G19)</f>
        <v>0.810176125244618</v>
      </c>
      <c r="H46" s="0" t="n">
        <f aca="false">IF(H24="","",(H17+H24)/H19)</f>
        <v>0.696428571428571</v>
      </c>
      <c r="I46" s="0" t="n">
        <f aca="false">IF(I24="","",(I17+I24)/I19)</f>
        <v>0.605981794538362</v>
      </c>
      <c r="J46" s="0" t="n">
        <f aca="false">IF(J24="","",(J17+J24)/J19)</f>
        <v>0.6375</v>
      </c>
      <c r="K46" s="0" t="n">
        <f aca="false">IF(K24="","",(K17+K24)/K19)</f>
        <v>0.644355198572066</v>
      </c>
      <c r="L46" s="0" t="n">
        <f aca="false">IF(L24="","",(L17+L24)/L19)</f>
        <v>0.693033381712627</v>
      </c>
      <c r="M46" s="0" t="n">
        <f aca="false">IF(M24="","",(M17+M24)/M19)</f>
        <v>0.688421993741618</v>
      </c>
    </row>
    <row r="47" customFormat="false" ht="17.15" hidden="false" customHeight="false" outlineLevel="0" collapsed="false">
      <c r="A47" s="2" t="s">
        <v>537</v>
      </c>
      <c r="B47" s="0" t="s">
        <v>166</v>
      </c>
      <c r="C47" s="0" t="n">
        <f aca="false">C19-C17</f>
        <v>145</v>
      </c>
      <c r="D47" s="0" t="n">
        <f aca="false">D19-D17</f>
        <v>215</v>
      </c>
      <c r="E47" s="0" t="n">
        <f aca="false">E19-E17</f>
        <v>327</v>
      </c>
      <c r="F47" s="0" t="n">
        <f aca="false">F19-F17</f>
        <v>306</v>
      </c>
      <c r="G47" s="0" t="n">
        <f aca="false">G19-G17</f>
        <v>196</v>
      </c>
      <c r="H47" s="0" t="n">
        <f aca="false">H19-H17</f>
        <v>318</v>
      </c>
      <c r="I47" s="0" t="n">
        <f aca="false">I19-I17</f>
        <v>420</v>
      </c>
      <c r="J47" s="0" t="n">
        <f aca="false">J19-J17</f>
        <v>419</v>
      </c>
      <c r="K47" s="0" t="n">
        <f aca="false">K19-K17</f>
        <v>1157</v>
      </c>
      <c r="L47" s="0" t="n">
        <f aca="false">L19-L17</f>
        <v>623</v>
      </c>
      <c r="M47" s="0" t="n">
        <f aca="false">M19-M17</f>
        <v>1044</v>
      </c>
    </row>
    <row r="48" customFormat="false" ht="17.15" hidden="false" customHeight="false" outlineLevel="0" collapsed="false">
      <c r="A48" s="2" t="s">
        <v>538</v>
      </c>
      <c r="B48" s="0" t="s">
        <v>47</v>
      </c>
      <c r="C48" s="0" t="n">
        <f aca="false">C47/C9</f>
        <v>0.0408796165773893</v>
      </c>
      <c r="D48" s="0" t="n">
        <f aca="false">D47/D9</f>
        <v>0.0508034026465028</v>
      </c>
      <c r="E48" s="0" t="n">
        <f aca="false">E47/E9</f>
        <v>0.0675619834710744</v>
      </c>
      <c r="F48" s="0" t="n">
        <f aca="false">F47/F9</f>
        <v>0.0541880644590048</v>
      </c>
      <c r="G48" s="0" t="n">
        <f aca="false">G47/G9</f>
        <v>0.0349812600392647</v>
      </c>
      <c r="H48" s="0" t="n">
        <f aca="false">H47/H9</f>
        <v>0.0494402985074627</v>
      </c>
      <c r="I48" s="0" t="n">
        <f aca="false">I47/I9</f>
        <v>0.056941431670282</v>
      </c>
      <c r="J48" s="0" t="n">
        <f aca="false">J47/J9</f>
        <v>0.0521144278606965</v>
      </c>
      <c r="K48" s="0" t="n">
        <f aca="false">K47/K9</f>
        <v>0.0529567923837422</v>
      </c>
      <c r="L48" s="0" t="n">
        <f aca="false">L47/L9</f>
        <v>0.0455642507130842</v>
      </c>
      <c r="M48" s="0" t="n">
        <f aca="false">M47/M9</f>
        <v>0.0513728963684677</v>
      </c>
    </row>
    <row r="50" customFormat="false" ht="17.15" hidden="false" customHeight="false" outlineLevel="0" collapsed="false">
      <c r="A50" s="9" t="s">
        <v>539</v>
      </c>
    </row>
    <row r="51" customFormat="false" ht="17.15" hidden="false" customHeight="false" outlineLevel="0" collapsed="false">
      <c r="A51" s="2" t="s">
        <v>540</v>
      </c>
      <c r="B51" s="0" t="s">
        <v>166</v>
      </c>
      <c r="C51" s="0" t="n">
        <f aca="false">SUM(G19:J19)</f>
        <v>2752</v>
      </c>
    </row>
    <row r="52" customFormat="false" ht="17.15" hidden="false" customHeight="false" outlineLevel="0" collapsed="false">
      <c r="A52" s="2" t="s">
        <v>541</v>
      </c>
      <c r="B52" s="0" t="s">
        <v>166</v>
      </c>
      <c r="C52" s="0" t="n">
        <f aca="false">SUM(G17:J17)</f>
        <v>1399</v>
      </c>
    </row>
    <row r="53" customFormat="false" ht="17.15" hidden="false" customHeight="false" outlineLevel="0" collapsed="false">
      <c r="A53" s="2" t="s">
        <v>542</v>
      </c>
      <c r="B53" s="0" t="s">
        <v>166</v>
      </c>
      <c r="C53" s="0" t="n">
        <f aca="false">SUM(G20:J20)</f>
        <v>396</v>
      </c>
    </row>
    <row r="54" customFormat="false" ht="17.15" hidden="false" customHeight="false" outlineLevel="0" collapsed="false">
      <c r="A54" s="2" t="s">
        <v>543</v>
      </c>
      <c r="B54" s="0" t="s">
        <v>166</v>
      </c>
      <c r="C54" s="0" t="n">
        <f aca="false">SUM(G25:J25)</f>
        <v>217</v>
      </c>
    </row>
    <row r="55" customFormat="false" ht="17.15" hidden="false" customHeight="false" outlineLevel="0" collapsed="false">
      <c r="A55" s="2" t="s">
        <v>544</v>
      </c>
      <c r="B55" s="0" t="s">
        <v>166</v>
      </c>
      <c r="C55" s="0" t="n">
        <f aca="false">SUM(G26:J26)</f>
        <v>1330</v>
      </c>
    </row>
    <row r="56" customFormat="false" ht="17.15" hidden="false" customHeight="false" outlineLevel="0" collapsed="false">
      <c r="A56" s="2" t="s">
        <v>545</v>
      </c>
      <c r="B56" s="0" t="s">
        <v>166</v>
      </c>
      <c r="C56" s="0" t="n">
        <f aca="false">SUM(G24:J24)</f>
        <v>459</v>
      </c>
    </row>
    <row r="57" customFormat="false" ht="17.15" hidden="false" customHeight="false" outlineLevel="0" collapsed="false">
      <c r="A57" s="2" t="s">
        <v>546</v>
      </c>
      <c r="B57" s="0" t="s">
        <v>387</v>
      </c>
      <c r="C57" s="0" t="n">
        <f aca="false">J31/C51</f>
        <v>1.89970930232558</v>
      </c>
    </row>
    <row r="58" customFormat="false" ht="17.15" hidden="false" customHeight="false" outlineLevel="0" collapsed="false">
      <c r="A58" s="2" t="s">
        <v>547</v>
      </c>
      <c r="B58" s="0" t="s">
        <v>387</v>
      </c>
      <c r="C58" s="0" t="n">
        <f aca="false">(J31-J27)/C51</f>
        <v>0.791787790697675</v>
      </c>
    </row>
    <row r="59" customFormat="false" ht="17.15" hidden="false" customHeight="false" outlineLevel="0" collapsed="false">
      <c r="A59" s="2" t="s">
        <v>548</v>
      </c>
      <c r="B59" s="0" t="s">
        <v>387</v>
      </c>
      <c r="C59" s="0" t="n">
        <f aca="false">J31/(C51-C52)</f>
        <v>3.8640059127864</v>
      </c>
    </row>
    <row r="60" customFormat="false" ht="17.15" hidden="false" customHeight="false" outlineLevel="0" collapsed="false">
      <c r="A60" s="2" t="s">
        <v>549</v>
      </c>
      <c r="B60" s="0" t="s">
        <v>387</v>
      </c>
      <c r="C60" s="0" t="n">
        <f aca="false">(C51-C54)/C53</f>
        <v>6.40151515151515</v>
      </c>
    </row>
    <row r="61" customFormat="false" ht="17.15" hidden="false" customHeight="false" outlineLevel="0" collapsed="false">
      <c r="A61" s="2" t="s">
        <v>550</v>
      </c>
      <c r="B61" s="0" t="s">
        <v>47</v>
      </c>
      <c r="C61" s="0" t="n">
        <f aca="false">(C52+C56)/C51</f>
        <v>0.675145348837209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551</v>
      </c>
    </row>
    <row r="2" customFormat="false" ht="17.15" hidden="false" customHeight="false" outlineLevel="0" collapsed="false">
      <c r="A2" s="2" t="s">
        <v>552</v>
      </c>
    </row>
    <row r="4" customFormat="false" ht="17.15" hidden="false" customHeight="false" outlineLevel="0" collapsed="false">
      <c r="A4" s="9" t="s">
        <v>553</v>
      </c>
    </row>
    <row r="5" customFormat="false" ht="15" hidden="false" customHeight="false" outlineLevel="0" collapsed="false">
      <c r="A5" s="4" t="s">
        <v>14</v>
      </c>
      <c r="B5" s="4" t="s">
        <v>15</v>
      </c>
      <c r="C5" s="8" t="s">
        <v>554</v>
      </c>
      <c r="D5" s="8" t="s">
        <v>555</v>
      </c>
      <c r="E5" s="8" t="s">
        <v>556</v>
      </c>
      <c r="F5" s="8" t="s">
        <v>557</v>
      </c>
      <c r="G5" s="8" t="s">
        <v>558</v>
      </c>
      <c r="H5" s="8" t="s">
        <v>559</v>
      </c>
      <c r="I5" s="8" t="s">
        <v>560</v>
      </c>
      <c r="J5" s="8" t="s">
        <v>561</v>
      </c>
      <c r="K5" s="8" t="s">
        <v>562</v>
      </c>
      <c r="L5" s="8" t="s">
        <v>563</v>
      </c>
      <c r="M5" s="8" t="s">
        <v>564</v>
      </c>
    </row>
    <row r="6" customFormat="false" ht="17.15" hidden="false" customHeight="false" outlineLevel="0" collapsed="false">
      <c r="A6" s="2" t="s">
        <v>565</v>
      </c>
      <c r="B6" s="0" t="s">
        <v>47</v>
      </c>
      <c r="C6" s="10" t="n">
        <f aca="false">Q!M4/Q!L4-1</f>
        <v>0.433034384697417</v>
      </c>
      <c r="D6" s="10" t="n">
        <f aca="false">D7/C7-1</f>
        <v>0.380789620559097</v>
      </c>
      <c r="E6" s="10" t="n">
        <f aca="false">g27_A</f>
        <v>0.32</v>
      </c>
      <c r="F6" s="10" t="n">
        <f aca="false">g28_A</f>
        <v>0.28</v>
      </c>
      <c r="G6" s="10" t="n">
        <f aca="false">(g28_A+g30_A)/2</f>
        <v>0.24</v>
      </c>
      <c r="H6" s="10" t="n">
        <f aca="false">g30_A</f>
        <v>0.2</v>
      </c>
      <c r="I6" s="10" t="n">
        <f aca="false">g30_A+(g35_A-g30_A)*1/5</f>
        <v>0.176</v>
      </c>
      <c r="J6" s="10" t="n">
        <f aca="false">g30_A+(g35_A-g30_A)*2/5</f>
        <v>0.152</v>
      </c>
      <c r="K6" s="10" t="n">
        <f aca="false">g30_A+(g35_A-g30_A)*3/5</f>
        <v>0.128</v>
      </c>
      <c r="L6" s="10" t="n">
        <f aca="false">g30_A+(g35_A-g30_A)*4/5</f>
        <v>0.104</v>
      </c>
      <c r="M6" s="10" t="n">
        <f aca="false">g30_A+(g35_A-g30_A)*5/5</f>
        <v>0.08</v>
      </c>
    </row>
    <row r="7" customFormat="false" ht="15" hidden="false" customHeight="false" outlineLevel="0" collapsed="false">
      <c r="A7" s="2" t="s">
        <v>494</v>
      </c>
      <c r="B7" s="2" t="s">
        <v>37</v>
      </c>
      <c r="C7" s="11" t="n">
        <f aca="false">fy25_units</f>
        <v>596641</v>
      </c>
      <c r="D7" s="11" t="n">
        <f aca="false">ytd_units+u_q4</f>
        <v>823835.7</v>
      </c>
      <c r="E7" s="11" t="n">
        <f aca="false">MIN(D7*(1+E6),unit_cap)</f>
        <v>1087463.124</v>
      </c>
      <c r="F7" s="11" t="n">
        <f aca="false">MIN(E7*(1+F6),unit_cap)</f>
        <v>1391952.79872</v>
      </c>
      <c r="G7" s="11" t="n">
        <f aca="false">MIN(F7*(1+G6),unit_cap)</f>
        <v>1726021.4704128</v>
      </c>
      <c r="H7" s="11" t="n">
        <f aca="false">MIN(G7*(1+H6),unit_cap)</f>
        <v>2071225.76449536</v>
      </c>
      <c r="I7" s="11" t="n">
        <f aca="false">MIN(H7*(1+I6),unit_cap)</f>
        <v>2435761.49904654</v>
      </c>
      <c r="J7" s="11" t="n">
        <f aca="false">MIN(I7*(1+J6),unit_cap)</f>
        <v>2805997.24690162</v>
      </c>
      <c r="K7" s="11" t="n">
        <f aca="false">MIN(J7*(1+K6),unit_cap)</f>
        <v>3000000</v>
      </c>
      <c r="L7" s="11" t="n">
        <f aca="false">MIN(K7*(1+L6),unit_cap)</f>
        <v>3000000</v>
      </c>
      <c r="M7" s="11" t="n">
        <f aca="false">MIN(L7*(1+M6),unit_cap)</f>
        <v>3000000</v>
      </c>
    </row>
    <row r="8" customFormat="false" ht="15" hidden="false" customHeight="false" outlineLevel="0" collapsed="false">
      <c r="A8" s="2" t="s">
        <v>566</v>
      </c>
      <c r="B8" s="0" t="s">
        <v>25</v>
      </c>
      <c r="C8" s="11" t="n">
        <f aca="false">fy25_rev_ret*1000000/C7</f>
        <v>24364.7352428009</v>
      </c>
      <c r="D8" s="11" t="n">
        <f aca="false">(ytd_rev_ret*1000000+(D7-ytd_units)*asp_q4)/D7</f>
        <v>27609.6693795862</v>
      </c>
      <c r="E8" s="11" t="n">
        <f aca="false">D8*(1+asp_g)</f>
        <v>28161.862767178</v>
      </c>
      <c r="F8" s="11" t="n">
        <f aca="false">E8*(1+asp_g)</f>
        <v>28725.1000225215</v>
      </c>
      <c r="G8" s="11" t="n">
        <f aca="false">F8*(1+asp_g)</f>
        <v>29299.602022972</v>
      </c>
      <c r="H8" s="11" t="n">
        <f aca="false">G8*(1+asp_g)</f>
        <v>29885.5940634314</v>
      </c>
      <c r="I8" s="11" t="n">
        <f aca="false">H8*(1+asp_g)</f>
        <v>30483.3059447</v>
      </c>
      <c r="J8" s="11" t="n">
        <f aca="false">I8*(1+asp_g)</f>
        <v>31092.972063594</v>
      </c>
      <c r="K8" s="11" t="n">
        <f aca="false">J8*(1+asp_g)</f>
        <v>31714.8315048659</v>
      </c>
      <c r="L8" s="11" t="n">
        <f aca="false">K8*(1+asp_g)</f>
        <v>32349.1281349632</v>
      </c>
      <c r="M8" s="11" t="n">
        <f aca="false">L8*(1+asp_g)</f>
        <v>32996.1106976625</v>
      </c>
    </row>
    <row r="9" customFormat="false" ht="15" hidden="false" customHeight="false" outlineLevel="0" collapsed="false">
      <c r="A9" s="2" t="s">
        <v>496</v>
      </c>
      <c r="B9" s="0" t="s">
        <v>166</v>
      </c>
      <c r="C9" s="11" t="n">
        <f aca="false">C7*C8/1000000</f>
        <v>14537</v>
      </c>
      <c r="D9" s="11" t="n">
        <f aca="false">D7*D8/1000000</f>
        <v>22745.8313001</v>
      </c>
      <c r="E9" s="11" t="n">
        <f aca="false">E7*E8/1000000</f>
        <v>30624.9872624546</v>
      </c>
      <c r="F9" s="11" t="n">
        <f aca="false">F7*F8/1000000</f>
        <v>39983.9833698608</v>
      </c>
      <c r="G9" s="11" t="n">
        <f aca="false">G7*G8/1000000</f>
        <v>50571.7421661999</v>
      </c>
      <c r="H9" s="11" t="n">
        <f aca="false">H7*H8/1000000</f>
        <v>61899.8124114287</v>
      </c>
      <c r="I9" s="11" t="n">
        <f aca="false">I7*I8/1000000</f>
        <v>74250.0629837569</v>
      </c>
      <c r="J9" s="11" t="n">
        <f aca="false">J7*J8/1000000</f>
        <v>87246.7940084338</v>
      </c>
      <c r="K9" s="11" t="n">
        <f aca="false">K7*K8/1000000</f>
        <v>95144.4945145977</v>
      </c>
      <c r="L9" s="11" t="n">
        <f aca="false">L7*L8/1000000</f>
        <v>97047.3844048897</v>
      </c>
      <c r="M9" s="11" t="n">
        <f aca="false">M7*M8/1000000</f>
        <v>98988.3320929875</v>
      </c>
    </row>
    <row r="10" customFormat="false" ht="15" hidden="false" customHeight="false" outlineLevel="0" collapsed="false">
      <c r="A10" s="2" t="s">
        <v>567</v>
      </c>
      <c r="B10" s="0" t="s">
        <v>25</v>
      </c>
      <c r="C10" s="11" t="n">
        <f aca="false">fy25_rev_whs*1000000/C7</f>
        <v>6791.3535945401</v>
      </c>
      <c r="D10" s="11" t="n">
        <f aca="false">(ytd_rev_whs*1000000+(D7-ytd_units)*whs_pu)/D7</f>
        <v>6183.32743733215</v>
      </c>
      <c r="E10" s="11" t="n">
        <f aca="false">D10*(1+asp_g)</f>
        <v>6306.99398607879</v>
      </c>
      <c r="F10" s="11" t="n">
        <f aca="false">E10*(1+asp_g)</f>
        <v>6433.13386580037</v>
      </c>
      <c r="G10" s="11" t="n">
        <f aca="false">F10*(1+asp_g)</f>
        <v>6561.79654311638</v>
      </c>
      <c r="H10" s="11" t="n">
        <f aca="false">G10*(1+asp_g)</f>
        <v>6693.03247397871</v>
      </c>
      <c r="I10" s="11" t="n">
        <f aca="false">H10*(1+asp_g)</f>
        <v>6826.89312345828</v>
      </c>
      <c r="J10" s="11" t="n">
        <f aca="false">I10*(1+asp_g)</f>
        <v>6963.43098592745</v>
      </c>
      <c r="K10" s="11" t="n">
        <f aca="false">J10*(1+asp_g)</f>
        <v>7102.699605646</v>
      </c>
      <c r="L10" s="11" t="n">
        <f aca="false">K10*(1+asp_g)</f>
        <v>7244.75359775892</v>
      </c>
      <c r="M10" s="11" t="n">
        <f aca="false">L10*(1+asp_g)</f>
        <v>7389.64866971409</v>
      </c>
    </row>
    <row r="11" customFormat="false" ht="15" hidden="false" customHeight="false" outlineLevel="0" collapsed="false">
      <c r="A11" s="2" t="s">
        <v>497</v>
      </c>
      <c r="B11" s="0" t="s">
        <v>166</v>
      </c>
      <c r="C11" s="11" t="n">
        <f aca="false">C7*C10/1000000</f>
        <v>4052</v>
      </c>
      <c r="D11" s="11" t="n">
        <f aca="false">D7*D10/1000000</f>
        <v>5094.04588766374</v>
      </c>
      <c r="E11" s="11" t="n">
        <f aca="false">E7*E10/1000000</f>
        <v>6858.62338315046</v>
      </c>
      <c r="F11" s="11" t="n">
        <f aca="false">F7*F10/1000000</f>
        <v>8954.61868904124</v>
      </c>
      <c r="G11" s="11" t="n">
        <f aca="false">G7*G10/1000000</f>
        <v>11325.8017178994</v>
      </c>
      <c r="H11" s="11" t="n">
        <f aca="false">H7*H10/1000000</f>
        <v>13862.7813027088</v>
      </c>
      <c r="I11" s="11" t="n">
        <f aca="false">I7*I10/1000000</f>
        <v>16628.6834282253</v>
      </c>
      <c r="J11" s="11" t="n">
        <f aca="false">J7*J10/1000000</f>
        <v>19539.3681755018</v>
      </c>
      <c r="K11" s="11" t="n">
        <f aca="false">K7*K10/1000000</f>
        <v>21308.098816938</v>
      </c>
      <c r="L11" s="11" t="n">
        <f aca="false">L7*L10/1000000</f>
        <v>21734.2607932768</v>
      </c>
      <c r="M11" s="11" t="n">
        <f aca="false">M7*M10/1000000</f>
        <v>22168.9460091423</v>
      </c>
    </row>
    <row r="12" customFormat="false" ht="15" hidden="false" customHeight="false" outlineLevel="0" collapsed="false">
      <c r="A12" s="2" t="s">
        <v>531</v>
      </c>
      <c r="B12" s="0" t="s">
        <v>25</v>
      </c>
      <c r="C12" s="11" t="n">
        <f aca="false">fy25_gp_ret*1000000/C7</f>
        <v>3315.22640918073</v>
      </c>
      <c r="D12" s="11" t="n">
        <f aca="false">(ytd_gp_ret*1000000+(D7-ytd_units)*(gpr_q4+q4_adj))/D7</f>
        <v>3303.37937673738</v>
      </c>
      <c r="E12" s="11" t="n">
        <f aca="false">gpr27_A</f>
        <v>3600</v>
      </c>
      <c r="F12" s="11" t="n">
        <f aca="false">gpr27_A+(gprLT_A-gpr27_A)/3</f>
        <v>3633.33333333333</v>
      </c>
      <c r="G12" s="11" t="n">
        <f aca="false">gpr27_A+(gprLT_A-gpr27_A)*2/3</f>
        <v>3666.66666666667</v>
      </c>
      <c r="H12" s="11" t="n">
        <f aca="false">gprLT_A</f>
        <v>3700</v>
      </c>
      <c r="I12" s="11" t="n">
        <f aca="false">gprLT_A</f>
        <v>3700</v>
      </c>
      <c r="J12" s="11" t="n">
        <f aca="false">gprLT_A</f>
        <v>3700</v>
      </c>
      <c r="K12" s="11" t="n">
        <f aca="false">gprLT_A</f>
        <v>3700</v>
      </c>
      <c r="L12" s="11" t="n">
        <f aca="false">gprLT_A</f>
        <v>3700</v>
      </c>
      <c r="M12" s="11" t="n">
        <f aca="false">gprLT_A</f>
        <v>3700</v>
      </c>
    </row>
    <row r="13" customFormat="false" ht="15" hidden="false" customHeight="false" outlineLevel="0" collapsed="false">
      <c r="A13" s="2" t="s">
        <v>568</v>
      </c>
      <c r="B13" s="0" t="s">
        <v>25</v>
      </c>
      <c r="C13" s="11" t="n">
        <f aca="false">fy25_gp_whs*1000000/C7</f>
        <v>806.179930645061</v>
      </c>
      <c r="D13" s="11" t="n">
        <f aca="false">(ytd_gp_whs*1000000+(D7-ytd_units)*gpw_h2)/D7</f>
        <v>753.77499615518</v>
      </c>
      <c r="E13" s="11" t="n">
        <f aca="false">gpw_h2</f>
        <v>708</v>
      </c>
      <c r="F13" s="11" t="n">
        <f aca="false">gpw_h2</f>
        <v>708</v>
      </c>
      <c r="G13" s="11" t="n">
        <f aca="false">gpw_h2</f>
        <v>708</v>
      </c>
      <c r="H13" s="11" t="n">
        <f aca="false">gpw_h2</f>
        <v>708</v>
      </c>
      <c r="I13" s="11" t="n">
        <f aca="false">gpw_h2</f>
        <v>708</v>
      </c>
      <c r="J13" s="11" t="n">
        <f aca="false">gpw_h2</f>
        <v>708</v>
      </c>
      <c r="K13" s="11" t="n">
        <f aca="false">gpw_h2</f>
        <v>708</v>
      </c>
      <c r="L13" s="11" t="n">
        <f aca="false">gpw_h2</f>
        <v>708</v>
      </c>
      <c r="M13" s="11" t="n">
        <f aca="false">gpw_h2</f>
        <v>708</v>
      </c>
    </row>
    <row r="14" customFormat="false" ht="15" hidden="false" customHeight="false" outlineLevel="0" collapsed="false">
      <c r="A14" s="2" t="s">
        <v>569</v>
      </c>
      <c r="B14" s="0" t="s">
        <v>25</v>
      </c>
      <c r="C14" s="11" t="n">
        <f aca="false">fy25_orig*1000000/C7</f>
        <v>21465.1691720817</v>
      </c>
      <c r="D14" s="11" t="n">
        <f aca="false">(ytd_orig*1000000+(D7-ytd_units)*opu)/D7</f>
        <v>23636.5576291486</v>
      </c>
      <c r="E14" s="11" t="n">
        <f aca="false">D14*(1+asp_g)</f>
        <v>24109.2887817316</v>
      </c>
      <c r="F14" s="11" t="n">
        <f aca="false">E14*(1+asp_g)</f>
        <v>24591.4745573662</v>
      </c>
      <c r="G14" s="11" t="n">
        <f aca="false">F14*(1+asp_g)</f>
        <v>25083.3040485136</v>
      </c>
      <c r="H14" s="11" t="n">
        <f aca="false">G14*(1+asp_g)</f>
        <v>25584.9701294838</v>
      </c>
      <c r="I14" s="11" t="n">
        <f aca="false">H14*(1+asp_g)</f>
        <v>26096.6695320735</v>
      </c>
      <c r="J14" s="11" t="n">
        <f aca="false">I14*(1+asp_g)</f>
        <v>26618.602922715</v>
      </c>
      <c r="K14" s="11" t="n">
        <f aca="false">J14*(1+asp_g)</f>
        <v>27150.9749811693</v>
      </c>
      <c r="L14" s="11" t="n">
        <f aca="false">K14*(1+asp_g)</f>
        <v>27693.9944807927</v>
      </c>
      <c r="M14" s="11" t="n">
        <f aca="false">L14*(1+asp_g)</f>
        <v>28247.8743704085</v>
      </c>
    </row>
    <row r="15" customFormat="false" ht="15" hidden="false" customHeight="false" outlineLevel="0" collapsed="false">
      <c r="A15" s="2" t="s">
        <v>506</v>
      </c>
      <c r="B15" s="0" t="s">
        <v>166</v>
      </c>
      <c r="C15" s="11" t="n">
        <f aca="false">C7*C14/1000000</f>
        <v>12807</v>
      </c>
      <c r="D15" s="11" t="n">
        <f aca="false">D7*D14/1000000</f>
        <v>19472.64</v>
      </c>
      <c r="E15" s="11" t="n">
        <f aca="false">E7*E14/1000000</f>
        <v>26217.962496</v>
      </c>
      <c r="F15" s="11" t="n">
        <f aca="false">F7*F14/1000000</f>
        <v>34230.1718347776</v>
      </c>
      <c r="G15" s="11" t="n">
        <f aca="false">G7*G14/1000000</f>
        <v>43294.3213366267</v>
      </c>
      <c r="H15" s="11" t="n">
        <f aca="false">H7*H14/1000000</f>
        <v>52992.2493160311</v>
      </c>
      <c r="I15" s="11" t="n">
        <f aca="false">I7*I14/1000000</f>
        <v>63565.2628995656</v>
      </c>
      <c r="J15" s="11" t="n">
        <f aca="false">J7*J14/1000000</f>
        <v>74691.7265175056</v>
      </c>
      <c r="K15" s="11" t="n">
        <f aca="false">K7*K14/1000000</f>
        <v>81452.9249435078</v>
      </c>
      <c r="L15" s="11" t="n">
        <f aca="false">L7*L14/1000000</f>
        <v>83081.983442378</v>
      </c>
      <c r="M15" s="11" t="n">
        <f aca="false">M7*M14/1000000</f>
        <v>84743.6231112256</v>
      </c>
    </row>
    <row r="16" customFormat="false" ht="15" hidden="false" customHeight="false" outlineLevel="0" collapsed="false">
      <c r="A16" s="2" t="s">
        <v>529</v>
      </c>
      <c r="B16" s="0" t="s">
        <v>47</v>
      </c>
      <c r="C16" s="12" t="n">
        <f aca="false">fy25_gos/fy25_orig</f>
        <v>0.0931521824002499</v>
      </c>
      <c r="D16" s="12" t="n">
        <f aca="false">(ytd_gos+(D15-ytd_orig)*gos_h2)/D15</f>
        <v>0.0756250821665681</v>
      </c>
      <c r="E16" s="12" t="n">
        <f aca="false">gos27_A</f>
        <v>0.08</v>
      </c>
      <c r="F16" s="12" t="n">
        <f aca="false">gos27_A+(gosLT_A-gos27_A)/3</f>
        <v>0.08</v>
      </c>
      <c r="G16" s="12" t="n">
        <f aca="false">gos27_A+(gosLT_A-gos27_A)*2/3</f>
        <v>0.08</v>
      </c>
      <c r="H16" s="12" t="n">
        <f aca="false">gosLT_A</f>
        <v>0.08</v>
      </c>
      <c r="I16" s="12" t="n">
        <f aca="false">gosLT_A</f>
        <v>0.08</v>
      </c>
      <c r="J16" s="12" t="n">
        <f aca="false">gosLT_A</f>
        <v>0.08</v>
      </c>
      <c r="K16" s="12" t="n">
        <f aca="false">gosLT_A</f>
        <v>0.08</v>
      </c>
      <c r="L16" s="12" t="n">
        <f aca="false">gosLT_A</f>
        <v>0.08</v>
      </c>
      <c r="M16" s="12" t="n">
        <f aca="false">gosLT_A</f>
        <v>0.08</v>
      </c>
    </row>
    <row r="17" customFormat="false" ht="15" hidden="false" customHeight="false" outlineLevel="0" collapsed="false">
      <c r="A17" s="2" t="s">
        <v>570</v>
      </c>
      <c r="B17" s="0" t="s">
        <v>166</v>
      </c>
      <c r="C17" s="11" t="n">
        <f aca="false">C15*C16</f>
        <v>1193</v>
      </c>
      <c r="D17" s="11" t="n">
        <f aca="false">D15*D16</f>
        <v>1472.62</v>
      </c>
      <c r="E17" s="11" t="n">
        <f aca="false">E15*E16</f>
        <v>2097.43699968</v>
      </c>
      <c r="F17" s="11" t="n">
        <f aca="false">F15*F16</f>
        <v>2738.41374678221</v>
      </c>
      <c r="G17" s="11" t="n">
        <f aca="false">G15*G16</f>
        <v>3463.54570693014</v>
      </c>
      <c r="H17" s="11" t="n">
        <f aca="false">H15*H16</f>
        <v>4239.37994528249</v>
      </c>
      <c r="I17" s="11" t="n">
        <f aca="false">I15*I16</f>
        <v>5085.22103196525</v>
      </c>
      <c r="J17" s="11" t="n">
        <f aca="false">J15*J16</f>
        <v>5975.33812140045</v>
      </c>
      <c r="K17" s="11" t="n">
        <f aca="false">K15*K16</f>
        <v>6516.23399548063</v>
      </c>
      <c r="L17" s="11" t="n">
        <f aca="false">L15*L16</f>
        <v>6646.55867539024</v>
      </c>
      <c r="M17" s="11" t="n">
        <f aca="false">M15*M16</f>
        <v>6779.48984889804</v>
      </c>
    </row>
    <row r="18" customFormat="false" ht="15" hidden="false" customHeight="false" outlineLevel="0" collapsed="false">
      <c r="A18" s="2" t="s">
        <v>571</v>
      </c>
      <c r="B18" s="0" t="s">
        <v>25</v>
      </c>
      <c r="C18" s="11" t="n">
        <f aca="false">(Q!M8-fy25_gos)*1000000/C7</f>
        <v>905.066866004851</v>
      </c>
      <c r="D18" s="11" t="n">
        <f aca="false">((Q!K8-ytd_gos)*1000000+(D7-ytd_units)*oth_pu)/D7</f>
        <v>945.892488028863</v>
      </c>
      <c r="E18" s="11" t="n">
        <f aca="false">D18*(1+oth_g)</f>
        <v>945.892488028863</v>
      </c>
      <c r="F18" s="11" t="n">
        <f aca="false">E18*(1+oth_g)</f>
        <v>945.892488028863</v>
      </c>
      <c r="G18" s="11" t="n">
        <f aca="false">F18*(1+oth_g)</f>
        <v>945.892488028863</v>
      </c>
      <c r="H18" s="11" t="n">
        <f aca="false">G18*(1+oth_g)</f>
        <v>945.892488028863</v>
      </c>
      <c r="I18" s="11" t="n">
        <f aca="false">H18*(1+oth_g)</f>
        <v>945.892488028863</v>
      </c>
      <c r="J18" s="11" t="n">
        <f aca="false">I18*(1+oth_g)</f>
        <v>945.892488028863</v>
      </c>
      <c r="K18" s="11" t="n">
        <f aca="false">J18*(1+oth_g)</f>
        <v>945.892488028863</v>
      </c>
      <c r="L18" s="11" t="n">
        <f aca="false">K18*(1+oth_g)</f>
        <v>945.892488028863</v>
      </c>
      <c r="M18" s="11" t="n">
        <f aca="false">L18*(1+oth_g)</f>
        <v>945.892488028863</v>
      </c>
    </row>
    <row r="19" customFormat="false" ht="17.15" hidden="false" customHeight="false" outlineLevel="0" collapsed="false">
      <c r="A19" s="2" t="s">
        <v>572</v>
      </c>
      <c r="B19" s="0" t="s">
        <v>166</v>
      </c>
      <c r="C19" s="11" t="n">
        <f aca="false">C7*C18/1000000</f>
        <v>540</v>
      </c>
      <c r="D19" s="11" t="n">
        <f aca="false">D7*D18/1000000</f>
        <v>779.26</v>
      </c>
      <c r="E19" s="11" t="n">
        <f aca="false">E7*E18/1000000</f>
        <v>1028.6232</v>
      </c>
      <c r="F19" s="11" t="n">
        <f aca="false">F7*F18/1000000</f>
        <v>1316.637696</v>
      </c>
      <c r="G19" s="11" t="n">
        <f aca="false">G7*G18/1000000</f>
        <v>1632.63074304</v>
      </c>
      <c r="H19" s="11" t="n">
        <f aca="false">H7*H18/1000000</f>
        <v>1959.156891648</v>
      </c>
      <c r="I19" s="11" t="n">
        <f aca="false">I7*I18/1000000</f>
        <v>2303.96850457805</v>
      </c>
      <c r="J19" s="11" t="n">
        <f aca="false">J7*J18/1000000</f>
        <v>2654.17171727391</v>
      </c>
      <c r="K19" s="11" t="n">
        <f aca="false">K7*K18/1000000</f>
        <v>2837.67746408659</v>
      </c>
      <c r="L19" s="11" t="n">
        <f aca="false">L7*L18/1000000</f>
        <v>2837.67746408659</v>
      </c>
      <c r="M19" s="11" t="n">
        <f aca="false">M7*M18/1000000</f>
        <v>2837.67746408659</v>
      </c>
    </row>
    <row r="20" customFormat="false" ht="15" hidden="false" customHeight="false" outlineLevel="0" collapsed="false">
      <c r="A20" s="2" t="s">
        <v>500</v>
      </c>
      <c r="B20" s="0" t="s">
        <v>166</v>
      </c>
      <c r="C20" s="11" t="n">
        <f aca="false">C7*C12/1000000</f>
        <v>1978</v>
      </c>
      <c r="D20" s="11" t="n">
        <f aca="false">D7*D12/1000000</f>
        <v>2721.4418612</v>
      </c>
      <c r="E20" s="11" t="n">
        <f aca="false">E7*E12/1000000</f>
        <v>3914.8672464</v>
      </c>
      <c r="F20" s="11" t="n">
        <f aca="false">F7*F12/1000000</f>
        <v>5057.428502016</v>
      </c>
      <c r="G20" s="11" t="n">
        <f aca="false">G7*G12/1000000</f>
        <v>6328.7453915136</v>
      </c>
      <c r="H20" s="11" t="n">
        <f aca="false">H7*H12/1000000</f>
        <v>7663.53532863283</v>
      </c>
      <c r="I20" s="11" t="n">
        <f aca="false">I7*I12/1000000</f>
        <v>9012.31754647221</v>
      </c>
      <c r="J20" s="11" t="n">
        <f aca="false">J7*J12/1000000</f>
        <v>10382.189813536</v>
      </c>
      <c r="K20" s="11" t="n">
        <f aca="false">K7*K12/1000000</f>
        <v>11100</v>
      </c>
      <c r="L20" s="11" t="n">
        <f aca="false">L7*L12/1000000</f>
        <v>11100</v>
      </c>
      <c r="M20" s="11" t="n">
        <f aca="false">M7*M12/1000000</f>
        <v>11100</v>
      </c>
    </row>
    <row r="21" customFormat="false" ht="15" hidden="false" customHeight="false" outlineLevel="0" collapsed="false">
      <c r="A21" s="2" t="s">
        <v>501</v>
      </c>
      <c r="B21" s="0" t="s">
        <v>166</v>
      </c>
      <c r="C21" s="11" t="n">
        <f aca="false">C7*C13/1000000</f>
        <v>481</v>
      </c>
      <c r="D21" s="11" t="n">
        <f aca="false">D7*D13/1000000</f>
        <v>620.9867516</v>
      </c>
      <c r="E21" s="11" t="n">
        <f aca="false">E7*E13/1000000</f>
        <v>769.923891792</v>
      </c>
      <c r="F21" s="11" t="n">
        <f aca="false">F7*F13/1000000</f>
        <v>985.50258149376</v>
      </c>
      <c r="G21" s="11" t="n">
        <f aca="false">G7*G13/1000000</f>
        <v>1222.02320105226</v>
      </c>
      <c r="H21" s="11" t="n">
        <f aca="false">H7*H13/1000000</f>
        <v>1466.42784126271</v>
      </c>
      <c r="I21" s="11" t="n">
        <f aca="false">I7*I13/1000000</f>
        <v>1724.51914132495</v>
      </c>
      <c r="J21" s="11" t="n">
        <f aca="false">J7*J13/1000000</f>
        <v>1986.64605080635</v>
      </c>
      <c r="K21" s="11" t="n">
        <f aca="false">K7*K13/1000000</f>
        <v>2124</v>
      </c>
      <c r="L21" s="11" t="n">
        <f aca="false">L7*L13/1000000</f>
        <v>2124</v>
      </c>
      <c r="M21" s="11" t="n">
        <f aca="false">M7*M13/1000000</f>
        <v>2124</v>
      </c>
    </row>
    <row r="22" customFormat="false" ht="15" hidden="false" customHeight="false" outlineLevel="0" collapsed="false">
      <c r="A22" s="2" t="s">
        <v>524</v>
      </c>
      <c r="B22" s="0" t="s">
        <v>166</v>
      </c>
      <c r="C22" s="11" t="n">
        <f aca="false">C17+C19</f>
        <v>1733</v>
      </c>
      <c r="D22" s="11" t="n">
        <f aca="false">D17+D19</f>
        <v>2251.88</v>
      </c>
      <c r="E22" s="11" t="n">
        <f aca="false">E17+E19</f>
        <v>3126.06019968</v>
      </c>
      <c r="F22" s="11" t="n">
        <f aca="false">F17+F19</f>
        <v>4055.05144278221</v>
      </c>
      <c r="G22" s="11" t="n">
        <f aca="false">G17+G19</f>
        <v>5096.17644997014</v>
      </c>
      <c r="H22" s="11" t="n">
        <f aca="false">H17+H19</f>
        <v>6198.53683693049</v>
      </c>
      <c r="I22" s="11" t="n">
        <f aca="false">I17+I19</f>
        <v>7389.1895365433</v>
      </c>
      <c r="J22" s="11" t="n">
        <f aca="false">J17+J19</f>
        <v>8629.50983867436</v>
      </c>
      <c r="K22" s="11" t="n">
        <f aca="false">K17+K19</f>
        <v>9353.91145956721</v>
      </c>
      <c r="L22" s="11" t="n">
        <f aca="false">L17+L19</f>
        <v>9484.23613947683</v>
      </c>
      <c r="M22" s="11" t="n">
        <f aca="false">M17+M19</f>
        <v>9617.16731298463</v>
      </c>
    </row>
    <row r="23" customFormat="false" ht="15" hidden="false" customHeight="false" outlineLevel="0" collapsed="false">
      <c r="A23" s="2" t="s">
        <v>573</v>
      </c>
      <c r="B23" s="0" t="s">
        <v>25</v>
      </c>
      <c r="C23" s="11" t="n">
        <f aca="false">(C20+C21+C22)*1000000/C7</f>
        <v>7026.00055980062</v>
      </c>
      <c r="D23" s="11" t="n">
        <f aca="false">(D20+D21+D22)*1000000/D7</f>
        <v>6790.56347376061</v>
      </c>
      <c r="E23" s="11" t="n">
        <f aca="false">(E20+E21+E22)*1000000/E7</f>
        <v>7182.63559056739</v>
      </c>
      <c r="F23" s="11" t="n">
        <f aca="false">(F20+F21+F22)*1000000/F7</f>
        <v>7254.5437859515</v>
      </c>
      <c r="G23" s="11" t="n">
        <f aca="false">(G20+G21+G22)*1000000/G7</f>
        <v>7327.22347857661</v>
      </c>
      <c r="H23" s="11" t="n">
        <f aca="false">(H20+H21+H22)*1000000/H7</f>
        <v>7400.69009838757</v>
      </c>
      <c r="I23" s="11" t="n">
        <f aca="false">(I20+I21+I22)*1000000/I7</f>
        <v>7441.62605059474</v>
      </c>
      <c r="J23" s="11" t="n">
        <f aca="false">(J20+J21+J22)*1000000/J7</f>
        <v>7483.38072184606</v>
      </c>
      <c r="K23" s="11" t="n">
        <f aca="false">(K20+K21+K22)*1000000/K7</f>
        <v>7525.97048652241</v>
      </c>
      <c r="L23" s="11" t="n">
        <f aca="false">(L20+L21+L22)*1000000/L7</f>
        <v>7569.41204649228</v>
      </c>
      <c r="M23" s="11" t="n">
        <f aca="false">(M20+M21+M22)*1000000/M7</f>
        <v>7613.72243766154</v>
      </c>
    </row>
    <row r="24" customFormat="false" ht="15" hidden="false" customHeight="false" outlineLevel="0" collapsed="false">
      <c r="A24" s="0" t="s">
        <v>502</v>
      </c>
      <c r="B24" s="0" t="s">
        <v>166</v>
      </c>
      <c r="C24" s="11" t="n">
        <f aca="false">Q!M12</f>
        <v>2308</v>
      </c>
      <c r="D24" s="11" t="n">
        <f aca="false">ytd_sga+sga_fix+(D7-ytd_units)*sga_var/1000000</f>
        <v>2989.85156</v>
      </c>
      <c r="E24" s="11" t="n">
        <f aca="false">4*sga_fix*(1+infl)^1+E7*sga_var*(1-eff_A)^1/1000000</f>
        <v>3653.949844784</v>
      </c>
      <c r="F24" s="11" t="n">
        <f aca="false">4*sga_fix*(1+infl)^2+F7*sga_var*(1-eff_A)^2/1000000</f>
        <v>4388.53948728381</v>
      </c>
      <c r="G24" s="11" t="n">
        <f aca="false">4*sga_fix*(1+infl)^3+G7*sga_var*(1-eff_A)^3/1000000</f>
        <v>5153.87530170497</v>
      </c>
      <c r="H24" s="11" t="n">
        <f aca="false">4*sga_fix*(1+infl)^4+H7*sga_var*(1-eff_A)^4/1000000</f>
        <v>5899.54156694459</v>
      </c>
      <c r="I24" s="11" t="n">
        <f aca="false">4*sga_fix*(1+infl)^5+I7*sga_var*(1-eff_A)^5/1000000</f>
        <v>6644.98594814365</v>
      </c>
      <c r="J24" s="11" t="n">
        <f aca="false">4*sga_fix*(1+infl)^6+J7*sga_var*(1-eff_A)^6/1000000</f>
        <v>7356.44358885502</v>
      </c>
      <c r="K24" s="11" t="n">
        <f aca="false">4*sga_fix*(1+infl)^7+K7*sga_var*(1-eff_A)^7/1000000</f>
        <v>7623.3701246504</v>
      </c>
      <c r="L24" s="11" t="n">
        <f aca="false">4*sga_fix*(1+infl)^8+L7*sga_var*(1-eff_A)^8/1000000</f>
        <v>7444.84787462022</v>
      </c>
      <c r="M24" s="11" t="n">
        <f aca="false">4*sga_fix*(1+infl)^9+M7*sga_var*(1-eff_A)^9/1000000</f>
        <v>7273.18665770223</v>
      </c>
    </row>
    <row r="25" customFormat="false" ht="17.15" hidden="false" customHeight="false" outlineLevel="0" collapsed="false">
      <c r="A25" s="0" t="s">
        <v>533</v>
      </c>
      <c r="B25" s="0" t="s">
        <v>25</v>
      </c>
      <c r="C25" s="11" t="n">
        <f aca="false">C24*1000000/C7</f>
        <v>3868.32282729481</v>
      </c>
      <c r="D25" s="11" t="n">
        <f aca="false">D24*1000000/D7</f>
        <v>3629.18426574619</v>
      </c>
      <c r="E25" s="11" t="n">
        <f aca="false">E24*1000000/E7</f>
        <v>3360.06781668488</v>
      </c>
      <c r="F25" s="11" t="n">
        <f aca="false">F24*1000000/F7</f>
        <v>3152.79332123862</v>
      </c>
      <c r="G25" s="11" t="n">
        <f aca="false">G24*1000000/G7</f>
        <v>2985.98562651272</v>
      </c>
      <c r="H25" s="11" t="n">
        <f aca="false">H24*1000000/H7</f>
        <v>2848.33342075675</v>
      </c>
      <c r="I25" s="11" t="n">
        <f aca="false">I24*1000000/I7</f>
        <v>2728.09384282688</v>
      </c>
      <c r="J25" s="11" t="n">
        <f aca="false">J24*1000000/J7</f>
        <v>2621.68596101725</v>
      </c>
      <c r="K25" s="11" t="n">
        <f aca="false">K24*1000000/K7</f>
        <v>2541.12337488347</v>
      </c>
      <c r="L25" s="11" t="n">
        <f aca="false">L24*1000000/L7</f>
        <v>2481.61595820674</v>
      </c>
      <c r="M25" s="11" t="n">
        <f aca="false">M24*1000000/M7</f>
        <v>2424.39555256741</v>
      </c>
    </row>
    <row r="26" customFormat="false" ht="17.15" hidden="false" customHeight="false" outlineLevel="0" collapsed="false">
      <c r="A26" s="2" t="s">
        <v>574</v>
      </c>
      <c r="B26" s="0" t="s">
        <v>25</v>
      </c>
      <c r="D26" s="11" t="n">
        <f aca="false">sga_var</f>
        <v>2800</v>
      </c>
      <c r="E26" s="11" t="n">
        <f aca="false">sga_var*(1-eff_A)^1</f>
        <v>2716</v>
      </c>
      <c r="F26" s="11" t="n">
        <f aca="false">sga_var*(1-eff_A)^2</f>
        <v>2634.52</v>
      </c>
      <c r="G26" s="11" t="n">
        <f aca="false">sga_var*(1-eff_A)^3</f>
        <v>2555.4844</v>
      </c>
      <c r="H26" s="11" t="n">
        <f aca="false">sga_var*(1-eff_A)^4</f>
        <v>2478.819868</v>
      </c>
      <c r="I26" s="11" t="n">
        <f aca="false">sga_var*(1-eff_A)^5</f>
        <v>2404.45527196</v>
      </c>
      <c r="J26" s="11" t="n">
        <f aca="false">sga_var*(1-eff_A)^6</f>
        <v>2332.3216138012</v>
      </c>
      <c r="K26" s="11" t="n">
        <f aca="false">sga_var*(1-eff_A)^7</f>
        <v>2262.35196538716</v>
      </c>
      <c r="L26" s="11" t="n">
        <f aca="false">sga_var*(1-eff_A)^8</f>
        <v>2194.48140642555</v>
      </c>
      <c r="M26" s="11" t="n">
        <f aca="false">sga_var*(1-eff_A)^9</f>
        <v>2128.64696423278</v>
      </c>
    </row>
    <row r="27" customFormat="false" ht="15" hidden="false" customHeight="false" outlineLevel="0" collapsed="false">
      <c r="A27" s="2" t="s">
        <v>575</v>
      </c>
      <c r="B27" s="2" t="s">
        <v>37</v>
      </c>
      <c r="D27" s="11" t="n">
        <f aca="false">MAX(cap_0,E7/util)</f>
        <v>1500000</v>
      </c>
      <c r="E27" s="11" t="n">
        <f aca="false">MAX(D27,MIN(F7,unit_cap)/util)</f>
        <v>1637591.52790588</v>
      </c>
      <c r="F27" s="11" t="n">
        <f aca="false">MAX(E27,MIN(G7,unit_cap)/util)</f>
        <v>2030613.49460329</v>
      </c>
      <c r="G27" s="11" t="n">
        <f aca="false">MAX(F27,MIN(H7,unit_cap)/util)</f>
        <v>2436736.19352395</v>
      </c>
      <c r="H27" s="11" t="n">
        <f aca="false">MAX(G27,MIN(I7,unit_cap)/util)</f>
        <v>2865601.76358417</v>
      </c>
      <c r="I27" s="11" t="n">
        <f aca="false">MAX(H27,MIN(J7,unit_cap)/util)</f>
        <v>3301173.23164896</v>
      </c>
      <c r="J27" s="11" t="n">
        <f aca="false">MAX(I27,MIN(K7,unit_cap)/util)</f>
        <v>3529411.76470588</v>
      </c>
      <c r="K27" s="11" t="n">
        <f aca="false">MAX(J27,MIN(L7,unit_cap)/util)</f>
        <v>3529411.76470588</v>
      </c>
      <c r="L27" s="11" t="n">
        <f aca="false">MAX(K27,MIN(M7,unit_cap)/util)</f>
        <v>3529411.76470588</v>
      </c>
      <c r="M27" s="11" t="n">
        <f aca="false">MAX(L27,MIN(M7*(1+M6),unit_cap)/util)</f>
        <v>3529411.76470588</v>
      </c>
    </row>
    <row r="28" customFormat="false" ht="17.15" hidden="false" customHeight="false" outlineLevel="0" collapsed="false">
      <c r="A28" s="2" t="s">
        <v>576</v>
      </c>
      <c r="B28" s="0" t="s">
        <v>166</v>
      </c>
      <c r="D28" s="11" t="n">
        <f aca="false">0</f>
        <v>0</v>
      </c>
      <c r="E28" s="11" t="n">
        <f aca="false">(E27-D27)*capcost/1000000</f>
        <v>82.5549167435296</v>
      </c>
      <c r="F28" s="11" t="n">
        <f aca="false">(F27-E27)*capcost/1000000</f>
        <v>235.813180018447</v>
      </c>
      <c r="G28" s="11" t="n">
        <f aca="false">(G27-F27)*capcost/1000000</f>
        <v>243.673619352395</v>
      </c>
      <c r="H28" s="11" t="n">
        <f aca="false">(H27-G27)*capcost/1000000</f>
        <v>257.31934203613</v>
      </c>
      <c r="I28" s="11" t="n">
        <f aca="false">(I27-H27)*capcost/1000000</f>
        <v>261.342880838876</v>
      </c>
      <c r="J28" s="11" t="n">
        <f aca="false">(J27-I27)*capcost/1000000</f>
        <v>136.943119834152</v>
      </c>
      <c r="K28" s="11" t="n">
        <f aca="false">(K27-J27)*capcost/1000000</f>
        <v>0</v>
      </c>
      <c r="L28" s="11" t="n">
        <f aca="false">(L27-K27)*capcost/1000000</f>
        <v>0</v>
      </c>
      <c r="M28" s="11" t="n">
        <f aca="false">(M27-L27)*capcost/1000000</f>
        <v>0</v>
      </c>
    </row>
    <row r="31" customFormat="false" ht="17.15" hidden="false" customHeight="false" outlineLevel="0" collapsed="false">
      <c r="A31" s="9" t="s">
        <v>577</v>
      </c>
    </row>
    <row r="32" customFormat="false" ht="15" hidden="false" customHeight="false" outlineLevel="0" collapsed="false">
      <c r="A32" s="4" t="s">
        <v>14</v>
      </c>
      <c r="B32" s="4" t="s">
        <v>15</v>
      </c>
      <c r="C32" s="8" t="s">
        <v>554</v>
      </c>
      <c r="D32" s="8" t="s">
        <v>555</v>
      </c>
      <c r="E32" s="8" t="s">
        <v>556</v>
      </c>
      <c r="F32" s="8" t="s">
        <v>557</v>
      </c>
      <c r="G32" s="8" t="s">
        <v>558</v>
      </c>
      <c r="H32" s="8" t="s">
        <v>559</v>
      </c>
      <c r="I32" s="8" t="s">
        <v>560</v>
      </c>
      <c r="J32" s="8" t="s">
        <v>561</v>
      </c>
      <c r="K32" s="8" t="s">
        <v>562</v>
      </c>
      <c r="L32" s="8" t="s">
        <v>563</v>
      </c>
      <c r="M32" s="8" t="s">
        <v>564</v>
      </c>
    </row>
    <row r="33" customFormat="false" ht="17.15" hidden="false" customHeight="false" outlineLevel="0" collapsed="false">
      <c r="A33" s="2" t="s">
        <v>565</v>
      </c>
      <c r="B33" s="0" t="s">
        <v>47</v>
      </c>
      <c r="C33" s="10" t="n">
        <f aca="false">Q!M4/Q!L4-1</f>
        <v>0.433034384697417</v>
      </c>
      <c r="D33" s="10" t="n">
        <f aca="false">D34/C34-1</f>
        <v>0.380789620559097</v>
      </c>
      <c r="E33" s="10" t="n">
        <f aca="false">g27_B</f>
        <v>0.25</v>
      </c>
      <c r="F33" s="10" t="n">
        <f aca="false">g28_B</f>
        <v>0.2</v>
      </c>
      <c r="G33" s="10" t="n">
        <f aca="false">(g28_B+g30_B)/2</f>
        <v>0.165</v>
      </c>
      <c r="H33" s="10" t="n">
        <f aca="false">g30_B</f>
        <v>0.13</v>
      </c>
      <c r="I33" s="10" t="n">
        <f aca="false">g30_B+(g35_B-g30_B)*1/5</f>
        <v>0.114</v>
      </c>
      <c r="J33" s="10" t="n">
        <f aca="false">g30_B+(g35_B-g30_B)*2/5</f>
        <v>0.098</v>
      </c>
      <c r="K33" s="10" t="n">
        <f aca="false">g30_B+(g35_B-g30_B)*3/5</f>
        <v>0.082</v>
      </c>
      <c r="L33" s="10" t="n">
        <f aca="false">g30_B+(g35_B-g30_B)*4/5</f>
        <v>0.066</v>
      </c>
      <c r="M33" s="10" t="n">
        <f aca="false">g30_B+(g35_B-g30_B)*5/5</f>
        <v>0.05</v>
      </c>
    </row>
    <row r="34" customFormat="false" ht="15" hidden="false" customHeight="false" outlineLevel="0" collapsed="false">
      <c r="A34" s="2" t="s">
        <v>494</v>
      </c>
      <c r="B34" s="2" t="s">
        <v>37</v>
      </c>
      <c r="C34" s="11" t="n">
        <f aca="false">fy25_units</f>
        <v>596641</v>
      </c>
      <c r="D34" s="11" t="n">
        <f aca="false">ytd_units+u_q4</f>
        <v>823835.7</v>
      </c>
      <c r="E34" s="11" t="n">
        <f aca="false">MIN(D34*(1+E33),unit_cap)</f>
        <v>1029794.625</v>
      </c>
      <c r="F34" s="11" t="n">
        <f aca="false">MIN(E34*(1+F33),unit_cap)</f>
        <v>1235753.55</v>
      </c>
      <c r="G34" s="11" t="n">
        <f aca="false">MIN(F34*(1+G33),unit_cap)</f>
        <v>1439652.88575</v>
      </c>
      <c r="H34" s="11" t="n">
        <f aca="false">MIN(G34*(1+H33),unit_cap)</f>
        <v>1626807.7608975</v>
      </c>
      <c r="I34" s="11" t="n">
        <f aca="false">MIN(H34*(1+I33),unit_cap)</f>
        <v>1812263.84563982</v>
      </c>
      <c r="J34" s="11" t="n">
        <f aca="false">MIN(I34*(1+J33),unit_cap)</f>
        <v>1989865.70251252</v>
      </c>
      <c r="K34" s="11" t="n">
        <f aca="false">MIN(J34*(1+K33),unit_cap)</f>
        <v>2153034.69011854</v>
      </c>
      <c r="L34" s="11" t="n">
        <f aca="false">MIN(K34*(1+L33),unit_cap)</f>
        <v>2295134.97966637</v>
      </c>
      <c r="M34" s="11" t="n">
        <f aca="false">MIN(L34*(1+M33),unit_cap)</f>
        <v>2409891.72864969</v>
      </c>
    </row>
    <row r="35" customFormat="false" ht="15" hidden="false" customHeight="false" outlineLevel="0" collapsed="false">
      <c r="A35" s="2" t="s">
        <v>566</v>
      </c>
      <c r="B35" s="0" t="s">
        <v>25</v>
      </c>
      <c r="C35" s="11" t="n">
        <f aca="false">fy25_rev_ret*1000000/C34</f>
        <v>24364.7352428009</v>
      </c>
      <c r="D35" s="11" t="n">
        <f aca="false">(ytd_rev_ret*1000000+(D34-ytd_units)*asp_q4)/D34</f>
        <v>27609.6693795862</v>
      </c>
      <c r="E35" s="11" t="n">
        <f aca="false">D35*(1+asp_g)</f>
        <v>28161.862767178</v>
      </c>
      <c r="F35" s="11" t="n">
        <f aca="false">E35*(1+asp_g)</f>
        <v>28725.1000225215</v>
      </c>
      <c r="G35" s="11" t="n">
        <f aca="false">F35*(1+asp_g)</f>
        <v>29299.602022972</v>
      </c>
      <c r="H35" s="11" t="n">
        <f aca="false">G35*(1+asp_g)</f>
        <v>29885.5940634314</v>
      </c>
      <c r="I35" s="11" t="n">
        <f aca="false">H35*(1+asp_g)</f>
        <v>30483.3059447</v>
      </c>
      <c r="J35" s="11" t="n">
        <f aca="false">I35*(1+asp_g)</f>
        <v>31092.972063594</v>
      </c>
      <c r="K35" s="11" t="n">
        <f aca="false">J35*(1+asp_g)</f>
        <v>31714.8315048659</v>
      </c>
      <c r="L35" s="11" t="n">
        <f aca="false">K35*(1+asp_g)</f>
        <v>32349.1281349632</v>
      </c>
      <c r="M35" s="11" t="n">
        <f aca="false">L35*(1+asp_g)</f>
        <v>32996.1106976625</v>
      </c>
    </row>
    <row r="36" customFormat="false" ht="15" hidden="false" customHeight="false" outlineLevel="0" collapsed="false">
      <c r="A36" s="2" t="s">
        <v>496</v>
      </c>
      <c r="B36" s="0" t="s">
        <v>166</v>
      </c>
      <c r="C36" s="11" t="n">
        <f aca="false">C34*C35/1000000</f>
        <v>14537</v>
      </c>
      <c r="D36" s="11" t="n">
        <f aca="false">D34*D35/1000000</f>
        <v>22745.8313001</v>
      </c>
      <c r="E36" s="11" t="n">
        <f aca="false">E34*E35/1000000</f>
        <v>29000.9349076275</v>
      </c>
      <c r="F36" s="11" t="n">
        <f aca="false">F34*F35/1000000</f>
        <v>35497.1443269361</v>
      </c>
      <c r="G36" s="11" t="n">
        <f aca="false">G34*G35/1000000</f>
        <v>42181.2566036981</v>
      </c>
      <c r="H36" s="11" t="n">
        <f aca="false">H34*H35/1000000</f>
        <v>48618.1163614225</v>
      </c>
      <c r="I36" s="11" t="n">
        <f aca="false">I34*I35/1000000</f>
        <v>55243.7932591571</v>
      </c>
      <c r="J36" s="11" t="n">
        <f aca="false">J34*J35/1000000</f>
        <v>61870.8386985256</v>
      </c>
      <c r="K36" s="11" t="n">
        <f aca="false">K34*K35/1000000</f>
        <v>68283.1324212408</v>
      </c>
      <c r="L36" s="11" t="n">
        <f aca="false">L34*L35/1000000</f>
        <v>74245.6155442636</v>
      </c>
      <c r="M36" s="11" t="n">
        <f aca="false">M34*M35/1000000</f>
        <v>79517.0542479063</v>
      </c>
    </row>
    <row r="37" customFormat="false" ht="15" hidden="false" customHeight="false" outlineLevel="0" collapsed="false">
      <c r="A37" s="2" t="s">
        <v>567</v>
      </c>
      <c r="B37" s="0" t="s">
        <v>25</v>
      </c>
      <c r="C37" s="11" t="n">
        <f aca="false">fy25_rev_whs*1000000/C34</f>
        <v>6791.3535945401</v>
      </c>
      <c r="D37" s="11" t="n">
        <f aca="false">(ytd_rev_whs*1000000+(D34-ytd_units)*whs_pu)/D34</f>
        <v>6183.32743733215</v>
      </c>
      <c r="E37" s="11" t="n">
        <f aca="false">D37*(1+asp_g)</f>
        <v>6306.99398607879</v>
      </c>
      <c r="F37" s="11" t="n">
        <f aca="false">E37*(1+asp_g)</f>
        <v>6433.13386580037</v>
      </c>
      <c r="G37" s="11" t="n">
        <f aca="false">F37*(1+asp_g)</f>
        <v>6561.79654311638</v>
      </c>
      <c r="H37" s="11" t="n">
        <f aca="false">G37*(1+asp_g)</f>
        <v>6693.03247397871</v>
      </c>
      <c r="I37" s="11" t="n">
        <f aca="false">H37*(1+asp_g)</f>
        <v>6826.89312345828</v>
      </c>
      <c r="J37" s="11" t="n">
        <f aca="false">I37*(1+asp_g)</f>
        <v>6963.43098592745</v>
      </c>
      <c r="K37" s="11" t="n">
        <f aca="false">J37*(1+asp_g)</f>
        <v>7102.699605646</v>
      </c>
      <c r="L37" s="11" t="n">
        <f aca="false">K37*(1+asp_g)</f>
        <v>7244.75359775892</v>
      </c>
      <c r="M37" s="11" t="n">
        <f aca="false">L37*(1+asp_g)</f>
        <v>7389.64866971409</v>
      </c>
    </row>
    <row r="38" customFormat="false" ht="15" hidden="false" customHeight="false" outlineLevel="0" collapsed="false">
      <c r="A38" s="2" t="s">
        <v>497</v>
      </c>
      <c r="B38" s="0" t="s">
        <v>166</v>
      </c>
      <c r="C38" s="11" t="n">
        <f aca="false">C34*C37/1000000</f>
        <v>4052</v>
      </c>
      <c r="D38" s="11" t="n">
        <f aca="false">D34*D37/1000000</f>
        <v>5094.04588766374</v>
      </c>
      <c r="E38" s="11" t="n">
        <f aca="false">E34*E37/1000000</f>
        <v>6494.90850677127</v>
      </c>
      <c r="F38" s="11" t="n">
        <f aca="false">F34*F37/1000000</f>
        <v>7949.76801228803</v>
      </c>
      <c r="G38" s="11" t="n">
        <f aca="false">G34*G37/1000000</f>
        <v>9446.70932900187</v>
      </c>
      <c r="H38" s="11" t="n">
        <f aca="false">H34*H37/1000000</f>
        <v>10888.2771726076</v>
      </c>
      <c r="I38" s="11" t="n">
        <f aca="false">I34*I37/1000000</f>
        <v>12372.1315856905</v>
      </c>
      <c r="J38" s="11" t="n">
        <f aca="false">J34*J37/1000000</f>
        <v>13856.2924907099</v>
      </c>
      <c r="K38" s="11" t="n">
        <f aca="false">K34*K37/1000000</f>
        <v>15292.3586444471</v>
      </c>
      <c r="L38" s="11" t="n">
        <f aca="false">L34*L37/1000000</f>
        <v>16627.6874012803</v>
      </c>
      <c r="M38" s="11" t="n">
        <f aca="false">M34*M37/1000000</f>
        <v>17808.2532067712</v>
      </c>
    </row>
    <row r="39" customFormat="false" ht="15" hidden="false" customHeight="false" outlineLevel="0" collapsed="false">
      <c r="A39" s="2" t="s">
        <v>531</v>
      </c>
      <c r="B39" s="0" t="s">
        <v>25</v>
      </c>
      <c r="C39" s="11" t="n">
        <f aca="false">fy25_gp_ret*1000000/C34</f>
        <v>3315.22640918073</v>
      </c>
      <c r="D39" s="11" t="n">
        <f aca="false">(ytd_gp_ret*1000000+(D34-ytd_units)*(gpr_q4+q4_adj))/D34</f>
        <v>3303.37937673738</v>
      </c>
      <c r="E39" s="11" t="n">
        <f aca="false">gpr27_B</f>
        <v>3450</v>
      </c>
      <c r="F39" s="11" t="n">
        <f aca="false">gpr27_B+(gprLT_B-gpr27_B)/3</f>
        <v>3416.66666666667</v>
      </c>
      <c r="G39" s="11" t="n">
        <f aca="false">gpr27_B+(gprLT_B-gpr27_B)*2/3</f>
        <v>3383.33333333333</v>
      </c>
      <c r="H39" s="11" t="n">
        <f aca="false">gprLT_B</f>
        <v>3350</v>
      </c>
      <c r="I39" s="11" t="n">
        <f aca="false">gprLT_B</f>
        <v>3350</v>
      </c>
      <c r="J39" s="11" t="n">
        <f aca="false">gprLT_B</f>
        <v>3350</v>
      </c>
      <c r="K39" s="11" t="n">
        <f aca="false">gprLT_B</f>
        <v>3350</v>
      </c>
      <c r="L39" s="11" t="n">
        <f aca="false">gprLT_B</f>
        <v>3350</v>
      </c>
      <c r="M39" s="11" t="n">
        <f aca="false">gprLT_B</f>
        <v>3350</v>
      </c>
    </row>
    <row r="40" customFormat="false" ht="15" hidden="false" customHeight="false" outlineLevel="0" collapsed="false">
      <c r="A40" s="2" t="s">
        <v>568</v>
      </c>
      <c r="B40" s="0" t="s">
        <v>25</v>
      </c>
      <c r="C40" s="11" t="n">
        <f aca="false">fy25_gp_whs*1000000/C34</f>
        <v>806.179930645061</v>
      </c>
      <c r="D40" s="11" t="n">
        <f aca="false">(ytd_gp_whs*1000000+(D34-ytd_units)*gpw_h2)/D34</f>
        <v>753.77499615518</v>
      </c>
      <c r="E40" s="11" t="n">
        <f aca="false">gpw_h2</f>
        <v>708</v>
      </c>
      <c r="F40" s="11" t="n">
        <f aca="false">gpw_h2</f>
        <v>708</v>
      </c>
      <c r="G40" s="11" t="n">
        <f aca="false">gpw_h2</f>
        <v>708</v>
      </c>
      <c r="H40" s="11" t="n">
        <f aca="false">gpw_h2</f>
        <v>708</v>
      </c>
      <c r="I40" s="11" t="n">
        <f aca="false">gpw_h2</f>
        <v>708</v>
      </c>
      <c r="J40" s="11" t="n">
        <f aca="false">gpw_h2</f>
        <v>708</v>
      </c>
      <c r="K40" s="11" t="n">
        <f aca="false">gpw_h2</f>
        <v>708</v>
      </c>
      <c r="L40" s="11" t="n">
        <f aca="false">gpw_h2</f>
        <v>708</v>
      </c>
      <c r="M40" s="11" t="n">
        <f aca="false">gpw_h2</f>
        <v>708</v>
      </c>
    </row>
    <row r="41" customFormat="false" ht="15" hidden="false" customHeight="false" outlineLevel="0" collapsed="false">
      <c r="A41" s="2" t="s">
        <v>569</v>
      </c>
      <c r="B41" s="0" t="s">
        <v>25</v>
      </c>
      <c r="C41" s="11" t="n">
        <f aca="false">fy25_orig*1000000/C34</f>
        <v>21465.1691720817</v>
      </c>
      <c r="D41" s="11" t="n">
        <f aca="false">(ytd_orig*1000000+(D34-ytd_units)*opu)/D34</f>
        <v>23636.5576291486</v>
      </c>
      <c r="E41" s="11" t="n">
        <f aca="false">D41*(1+asp_g)</f>
        <v>24109.2887817316</v>
      </c>
      <c r="F41" s="11" t="n">
        <f aca="false">E41*(1+asp_g)</f>
        <v>24591.4745573662</v>
      </c>
      <c r="G41" s="11" t="n">
        <f aca="false">F41*(1+asp_g)</f>
        <v>25083.3040485136</v>
      </c>
      <c r="H41" s="11" t="n">
        <f aca="false">G41*(1+asp_g)</f>
        <v>25584.9701294838</v>
      </c>
      <c r="I41" s="11" t="n">
        <f aca="false">H41*(1+asp_g)</f>
        <v>26096.6695320735</v>
      </c>
      <c r="J41" s="11" t="n">
        <f aca="false">I41*(1+asp_g)</f>
        <v>26618.602922715</v>
      </c>
      <c r="K41" s="11" t="n">
        <f aca="false">J41*(1+asp_g)</f>
        <v>27150.9749811693</v>
      </c>
      <c r="L41" s="11" t="n">
        <f aca="false">K41*(1+asp_g)</f>
        <v>27693.9944807927</v>
      </c>
      <c r="M41" s="11" t="n">
        <f aca="false">L41*(1+asp_g)</f>
        <v>28247.8743704085</v>
      </c>
    </row>
    <row r="42" customFormat="false" ht="15" hidden="false" customHeight="false" outlineLevel="0" collapsed="false">
      <c r="A42" s="2" t="s">
        <v>506</v>
      </c>
      <c r="B42" s="0" t="s">
        <v>166</v>
      </c>
      <c r="C42" s="11" t="n">
        <f aca="false">C34*C41/1000000</f>
        <v>12807</v>
      </c>
      <c r="D42" s="11" t="n">
        <f aca="false">D34*D41/1000000</f>
        <v>19472.64</v>
      </c>
      <c r="E42" s="11" t="n">
        <f aca="false">E34*E41/1000000</f>
        <v>24827.616</v>
      </c>
      <c r="F42" s="11" t="n">
        <f aca="false">F34*F41/1000000</f>
        <v>30389.001984</v>
      </c>
      <c r="G42" s="11" t="n">
        <f aca="false">G34*G41/1000000</f>
        <v>36111.2510575872</v>
      </c>
      <c r="H42" s="11" t="n">
        <f aca="false">H34*H41/1000000</f>
        <v>41621.827968975</v>
      </c>
      <c r="I42" s="11" t="n">
        <f aca="false">I34*I41/1000000</f>
        <v>47294.0506845869</v>
      </c>
      <c r="J42" s="11" t="n">
        <f aca="false">J34*J41/1000000</f>
        <v>52967.44500471</v>
      </c>
      <c r="K42" s="11" t="n">
        <f aca="false">K34*K41/1000000</f>
        <v>58456.9910049981</v>
      </c>
      <c r="L42" s="11" t="n">
        <f aca="false">L34*L41/1000000</f>
        <v>63561.4554595546</v>
      </c>
      <c r="M42" s="11" t="n">
        <f aca="false">M34*M41/1000000</f>
        <v>68074.318797183</v>
      </c>
    </row>
    <row r="43" customFormat="false" ht="15" hidden="false" customHeight="false" outlineLevel="0" collapsed="false">
      <c r="A43" s="2" t="s">
        <v>529</v>
      </c>
      <c r="B43" s="0" t="s">
        <v>47</v>
      </c>
      <c r="C43" s="12" t="n">
        <f aca="false">fy25_gos/fy25_orig</f>
        <v>0.0931521824002499</v>
      </c>
      <c r="D43" s="12" t="n">
        <f aca="false">(ytd_gos+(D42-ytd_orig)*gos_h2)/D42</f>
        <v>0.0756250821665681</v>
      </c>
      <c r="E43" s="12" t="n">
        <f aca="false">gos27_B</f>
        <v>0.072</v>
      </c>
      <c r="F43" s="12" t="n">
        <f aca="false">gos27_B+(gosLT_B-gos27_B)/3</f>
        <v>0.0713333333333333</v>
      </c>
      <c r="G43" s="12" t="n">
        <f aca="false">gos27_B+(gosLT_B-gos27_B)*2/3</f>
        <v>0.0706666666666667</v>
      </c>
      <c r="H43" s="12" t="n">
        <f aca="false">gosLT_B</f>
        <v>0.07</v>
      </c>
      <c r="I43" s="12" t="n">
        <f aca="false">gosLT_B</f>
        <v>0.07</v>
      </c>
      <c r="J43" s="12" t="n">
        <f aca="false">gosLT_B</f>
        <v>0.07</v>
      </c>
      <c r="K43" s="12" t="n">
        <f aca="false">gosLT_B</f>
        <v>0.07</v>
      </c>
      <c r="L43" s="12" t="n">
        <f aca="false">gosLT_B</f>
        <v>0.07</v>
      </c>
      <c r="M43" s="12" t="n">
        <f aca="false">gosLT_B</f>
        <v>0.07</v>
      </c>
    </row>
    <row r="44" customFormat="false" ht="15" hidden="false" customHeight="false" outlineLevel="0" collapsed="false">
      <c r="A44" s="2" t="s">
        <v>570</v>
      </c>
      <c r="B44" s="0" t="s">
        <v>166</v>
      </c>
      <c r="C44" s="11" t="n">
        <f aca="false">C42*C43</f>
        <v>1193</v>
      </c>
      <c r="D44" s="11" t="n">
        <f aca="false">D42*D43</f>
        <v>1472.62</v>
      </c>
      <c r="E44" s="11" t="n">
        <f aca="false">E42*E43</f>
        <v>1787.588352</v>
      </c>
      <c r="F44" s="11" t="n">
        <f aca="false">F42*F43</f>
        <v>2167.748808192</v>
      </c>
      <c r="G44" s="11" t="n">
        <f aca="false">G42*G43</f>
        <v>2551.86174140283</v>
      </c>
      <c r="H44" s="11" t="n">
        <f aca="false">H42*H43</f>
        <v>2913.52795782825</v>
      </c>
      <c r="I44" s="11" t="n">
        <f aca="false">I42*I43</f>
        <v>3310.58354792109</v>
      </c>
      <c r="J44" s="11" t="n">
        <f aca="false">J42*J43</f>
        <v>3707.7211503297</v>
      </c>
      <c r="K44" s="11" t="n">
        <f aca="false">K42*K43</f>
        <v>4091.98937034987</v>
      </c>
      <c r="L44" s="11" t="n">
        <f aca="false">L42*L43</f>
        <v>4449.30188216882</v>
      </c>
      <c r="M44" s="11" t="n">
        <f aca="false">M42*M43</f>
        <v>4765.20231580281</v>
      </c>
    </row>
    <row r="45" customFormat="false" ht="15" hidden="false" customHeight="false" outlineLevel="0" collapsed="false">
      <c r="A45" s="2" t="s">
        <v>571</v>
      </c>
      <c r="B45" s="0" t="s">
        <v>25</v>
      </c>
      <c r="C45" s="11" t="n">
        <f aca="false">(Q!M8-fy25_gos)*1000000/C34</f>
        <v>905.066866004851</v>
      </c>
      <c r="D45" s="11" t="n">
        <f aca="false">((Q!K8-ytd_gos)*1000000+(D34-ytd_units)*oth_pu)/D34</f>
        <v>945.892488028863</v>
      </c>
      <c r="E45" s="11" t="n">
        <f aca="false">D45*(1+oth_g)</f>
        <v>945.892488028863</v>
      </c>
      <c r="F45" s="11" t="n">
        <f aca="false">E45*(1+oth_g)</f>
        <v>945.892488028863</v>
      </c>
      <c r="G45" s="11" t="n">
        <f aca="false">F45*(1+oth_g)</f>
        <v>945.892488028863</v>
      </c>
      <c r="H45" s="11" t="n">
        <f aca="false">G45*(1+oth_g)</f>
        <v>945.892488028863</v>
      </c>
      <c r="I45" s="11" t="n">
        <f aca="false">H45*(1+oth_g)</f>
        <v>945.892488028863</v>
      </c>
      <c r="J45" s="11" t="n">
        <f aca="false">I45*(1+oth_g)</f>
        <v>945.892488028863</v>
      </c>
      <c r="K45" s="11" t="n">
        <f aca="false">J45*(1+oth_g)</f>
        <v>945.892488028863</v>
      </c>
      <c r="L45" s="11" t="n">
        <f aca="false">K45*(1+oth_g)</f>
        <v>945.892488028863</v>
      </c>
      <c r="M45" s="11" t="n">
        <f aca="false">L45*(1+oth_g)</f>
        <v>945.892488028863</v>
      </c>
    </row>
    <row r="46" customFormat="false" ht="17.15" hidden="false" customHeight="false" outlineLevel="0" collapsed="false">
      <c r="A46" s="2" t="s">
        <v>572</v>
      </c>
      <c r="B46" s="0" t="s">
        <v>166</v>
      </c>
      <c r="C46" s="11" t="n">
        <f aca="false">C34*C45/1000000</f>
        <v>540</v>
      </c>
      <c r="D46" s="11" t="n">
        <f aca="false">D34*D45/1000000</f>
        <v>779.26</v>
      </c>
      <c r="E46" s="11" t="n">
        <f aca="false">E34*E45/1000000</f>
        <v>974.075</v>
      </c>
      <c r="F46" s="11" t="n">
        <f aca="false">F34*F45/1000000</f>
        <v>1168.89</v>
      </c>
      <c r="G46" s="11" t="n">
        <f aca="false">G34*G45/1000000</f>
        <v>1361.75685</v>
      </c>
      <c r="H46" s="11" t="n">
        <f aca="false">H34*H45/1000000</f>
        <v>1538.7852405</v>
      </c>
      <c r="I46" s="11" t="n">
        <f aca="false">I34*I45/1000000</f>
        <v>1714.206757917</v>
      </c>
      <c r="J46" s="11" t="n">
        <f aca="false">J34*J45/1000000</f>
        <v>1882.19902019287</v>
      </c>
      <c r="K46" s="11" t="n">
        <f aca="false">K34*K45/1000000</f>
        <v>2036.53933984868</v>
      </c>
      <c r="L46" s="11" t="n">
        <f aca="false">L34*L45/1000000</f>
        <v>2170.9509362787</v>
      </c>
      <c r="M46" s="11" t="n">
        <f aca="false">M34*M45/1000000</f>
        <v>2279.49848309263</v>
      </c>
    </row>
    <row r="47" customFormat="false" ht="15" hidden="false" customHeight="false" outlineLevel="0" collapsed="false">
      <c r="A47" s="2" t="s">
        <v>500</v>
      </c>
      <c r="B47" s="0" t="s">
        <v>166</v>
      </c>
      <c r="C47" s="11" t="n">
        <f aca="false">C34*C39/1000000</f>
        <v>1978</v>
      </c>
      <c r="D47" s="11" t="n">
        <f aca="false">D34*D39/1000000</f>
        <v>2721.4418612</v>
      </c>
      <c r="E47" s="11" t="n">
        <f aca="false">E34*E39/1000000</f>
        <v>3552.79145625</v>
      </c>
      <c r="F47" s="11" t="n">
        <f aca="false">F34*F39/1000000</f>
        <v>4222.1579625</v>
      </c>
      <c r="G47" s="11" t="n">
        <f aca="false">G34*G39/1000000</f>
        <v>4870.8255967875</v>
      </c>
      <c r="H47" s="11" t="n">
        <f aca="false">H34*H39/1000000</f>
        <v>5449.80599900663</v>
      </c>
      <c r="I47" s="11" t="n">
        <f aca="false">I34*I39/1000000</f>
        <v>6071.08388289338</v>
      </c>
      <c r="J47" s="11" t="n">
        <f aca="false">J34*J39/1000000</f>
        <v>6666.05010341693</v>
      </c>
      <c r="K47" s="11" t="n">
        <f aca="false">K34*K39/1000000</f>
        <v>7212.66621189712</v>
      </c>
      <c r="L47" s="11" t="n">
        <f aca="false">L34*L39/1000000</f>
        <v>7688.70218188233</v>
      </c>
      <c r="M47" s="11" t="n">
        <f aca="false">M34*M39/1000000</f>
        <v>8073.13729097645</v>
      </c>
    </row>
    <row r="48" customFormat="false" ht="15" hidden="false" customHeight="false" outlineLevel="0" collapsed="false">
      <c r="A48" s="2" t="s">
        <v>501</v>
      </c>
      <c r="B48" s="0" t="s">
        <v>166</v>
      </c>
      <c r="C48" s="11" t="n">
        <f aca="false">C34*C40/1000000</f>
        <v>481</v>
      </c>
      <c r="D48" s="11" t="n">
        <f aca="false">D34*D40/1000000</f>
        <v>620.9867516</v>
      </c>
      <c r="E48" s="11" t="n">
        <f aca="false">E34*E40/1000000</f>
        <v>729.0945945</v>
      </c>
      <c r="F48" s="11" t="n">
        <f aca="false">F34*F40/1000000</f>
        <v>874.9135134</v>
      </c>
      <c r="G48" s="11" t="n">
        <f aca="false">G34*G40/1000000</f>
        <v>1019.274243111</v>
      </c>
      <c r="H48" s="11" t="n">
        <f aca="false">H34*H40/1000000</f>
        <v>1151.77989471543</v>
      </c>
      <c r="I48" s="11" t="n">
        <f aca="false">I34*I40/1000000</f>
        <v>1283.08280271299</v>
      </c>
      <c r="J48" s="11" t="n">
        <f aca="false">J34*J40/1000000</f>
        <v>1408.82491737886</v>
      </c>
      <c r="K48" s="11" t="n">
        <f aca="false">K34*K40/1000000</f>
        <v>1524.34856060393</v>
      </c>
      <c r="L48" s="11" t="n">
        <f aca="false">L34*L40/1000000</f>
        <v>1624.95556560379</v>
      </c>
      <c r="M48" s="11" t="n">
        <f aca="false">M34*M40/1000000</f>
        <v>1706.20334388398</v>
      </c>
    </row>
    <row r="49" customFormat="false" ht="15" hidden="false" customHeight="false" outlineLevel="0" collapsed="false">
      <c r="A49" s="2" t="s">
        <v>524</v>
      </c>
      <c r="B49" s="0" t="s">
        <v>166</v>
      </c>
      <c r="C49" s="11" t="n">
        <f aca="false">C44+C46</f>
        <v>1733</v>
      </c>
      <c r="D49" s="11" t="n">
        <f aca="false">D44+D46</f>
        <v>2251.88</v>
      </c>
      <c r="E49" s="11" t="n">
        <f aca="false">E44+E46</f>
        <v>2761.663352</v>
      </c>
      <c r="F49" s="11" t="n">
        <f aca="false">F44+F46</f>
        <v>3336.638808192</v>
      </c>
      <c r="G49" s="11" t="n">
        <f aca="false">G44+G46</f>
        <v>3913.61859140283</v>
      </c>
      <c r="H49" s="11" t="n">
        <f aca="false">H44+H46</f>
        <v>4452.31319832825</v>
      </c>
      <c r="I49" s="11" t="n">
        <f aca="false">I44+I46</f>
        <v>5024.79030583809</v>
      </c>
      <c r="J49" s="11" t="n">
        <f aca="false">J44+J46</f>
        <v>5589.92017052257</v>
      </c>
      <c r="K49" s="11" t="n">
        <f aca="false">K44+K46</f>
        <v>6128.52871019855</v>
      </c>
      <c r="L49" s="11" t="n">
        <f aca="false">L44+L46</f>
        <v>6620.25281844752</v>
      </c>
      <c r="M49" s="11" t="n">
        <f aca="false">M44+M46</f>
        <v>7044.70079889544</v>
      </c>
    </row>
    <row r="50" customFormat="false" ht="15" hidden="false" customHeight="false" outlineLevel="0" collapsed="false">
      <c r="A50" s="2" t="s">
        <v>573</v>
      </c>
      <c r="B50" s="0" t="s">
        <v>25</v>
      </c>
      <c r="C50" s="11" t="n">
        <f aca="false">(C47+C48+C49)*1000000/C34</f>
        <v>7026.00055980062</v>
      </c>
      <c r="D50" s="11" t="n">
        <f aca="false">(D47+D48+D49)*1000000/D34</f>
        <v>6790.56347376061</v>
      </c>
      <c r="E50" s="11" t="n">
        <f aca="false">(E47+E48+E49)*1000000/E34</f>
        <v>6839.76128031354</v>
      </c>
      <c r="F50" s="11" t="n">
        <f aca="false">(F47+F48+F49)*1000000/F34</f>
        <v>6824.75100645432</v>
      </c>
      <c r="G50" s="11" t="n">
        <f aca="false">(G47+G48+G49)*1000000/G34</f>
        <v>6809.77930745715</v>
      </c>
      <c r="H50" s="11" t="n">
        <f aca="false">(H47+H48+H49)*1000000/H34</f>
        <v>6794.84039709273</v>
      </c>
      <c r="I50" s="11" t="n">
        <f aca="false">(I47+I48+I49)*1000000/I34</f>
        <v>6830.65935527401</v>
      </c>
      <c r="J50" s="11" t="n">
        <f aca="false">(J47+J48+J49)*1000000/J34</f>
        <v>6867.19469261891</v>
      </c>
      <c r="K50" s="11" t="n">
        <f aca="false">(K47+K48+K49)*1000000/K34</f>
        <v>6904.46073671071</v>
      </c>
      <c r="L50" s="11" t="n">
        <f aca="false">(L47+L48+L49)*1000000/L34</f>
        <v>6942.47210168435</v>
      </c>
      <c r="M50" s="11" t="n">
        <f aca="false">(M47+M48+M49)*1000000/M34</f>
        <v>6981.24369395746</v>
      </c>
    </row>
    <row r="51" customFormat="false" ht="15" hidden="false" customHeight="false" outlineLevel="0" collapsed="false">
      <c r="A51" s="0" t="s">
        <v>502</v>
      </c>
      <c r="B51" s="0" t="s">
        <v>166</v>
      </c>
      <c r="C51" s="11" t="n">
        <f aca="false">Q!M12</f>
        <v>2308</v>
      </c>
      <c r="D51" s="11" t="n">
        <f aca="false">ytd_sga+sga_fix+(D34-ytd_units)*sga_var/1000000</f>
        <v>2989.85156</v>
      </c>
      <c r="E51" s="11" t="n">
        <f aca="false">4*sga_fix*(1+infl)^1+E34*sga_var*(1-eff_B)^1/1000000</f>
        <v>3540.57357575</v>
      </c>
      <c r="F51" s="11" t="n">
        <f aca="false">4*sga_fix*(1+infl)^2+F34*sga_var*(1-eff_B)^2/1000000</f>
        <v>4078.4971665365</v>
      </c>
      <c r="G51" s="11" t="n">
        <f aca="false">4*sga_fix*(1+infl)^3+G34*sga_var*(1-eff_B)^3/1000000</f>
        <v>4595.3935157298</v>
      </c>
      <c r="H51" s="11" t="n">
        <f aca="false">4*sga_fix*(1+infl)^4+H34*sga_var*(1-eff_B)^4/1000000</f>
        <v>5053.19208808505</v>
      </c>
      <c r="I51" s="11" t="n">
        <f aca="false">4*sga_fix*(1+infl)^5+I34*sga_var*(1-eff_B)^5/1000000</f>
        <v>5493.31701461391</v>
      </c>
      <c r="J51" s="11" t="n">
        <f aca="false">4*sga_fix*(1+infl)^6+J34*sga_var*(1-eff_B)^6/1000000</f>
        <v>5900.56572354228</v>
      </c>
      <c r="K51" s="11" t="n">
        <f aca="false">4*sga_fix*(1+infl)^7+K34*sga_var*(1-eff_B)^7/1000000</f>
        <v>6259.60228073981</v>
      </c>
      <c r="L51" s="11" t="n">
        <f aca="false">4*sga_fix*(1+infl)^8+L34*sga_var*(1-eff_B)^8/1000000</f>
        <v>6555.91034308754</v>
      </c>
      <c r="M51" s="11" t="n">
        <f aca="false">4*sga_fix*(1+infl)^9+M34*sga_var*(1-eff_B)^9/1000000</f>
        <v>6776.78930680308</v>
      </c>
    </row>
    <row r="52" customFormat="false" ht="17.15" hidden="false" customHeight="false" outlineLevel="0" collapsed="false">
      <c r="A52" s="0" t="s">
        <v>533</v>
      </c>
      <c r="B52" s="0" t="s">
        <v>25</v>
      </c>
      <c r="C52" s="11" t="n">
        <f aca="false">C51*1000000/C34</f>
        <v>3868.32282729481</v>
      </c>
      <c r="D52" s="11" t="n">
        <f aca="false">D51*1000000/D34</f>
        <v>3629.18426574619</v>
      </c>
      <c r="E52" s="11" t="n">
        <f aca="false">E51*1000000/E34</f>
        <v>3438.13561441923</v>
      </c>
      <c r="F52" s="11" t="n">
        <f aca="false">F51*1000000/F34</f>
        <v>3300.41306904318</v>
      </c>
      <c r="G52" s="11" t="n">
        <f aca="false">G51*1000000/G34</f>
        <v>3192.01493722272</v>
      </c>
      <c r="H52" s="11" t="n">
        <f aca="false">H51*1000000/H34</f>
        <v>3106.20111948399</v>
      </c>
      <c r="I52" s="11" t="n">
        <f aca="false">I51*1000000/I34</f>
        <v>3031.19053433112</v>
      </c>
      <c r="J52" s="11" t="n">
        <f aca="false">J51*1000000/J34</f>
        <v>2965.30852111873</v>
      </c>
      <c r="K52" s="11" t="n">
        <f aca="false">K51*1000000/K34</f>
        <v>2907.33925907862</v>
      </c>
      <c r="L52" s="11" t="n">
        <f aca="false">L51*1000000/L34</f>
        <v>2856.43781353572</v>
      </c>
      <c r="M52" s="11" t="n">
        <f aca="false">M51*1000000/M34</f>
        <v>2812.07210524776</v>
      </c>
    </row>
    <row r="53" customFormat="false" ht="17.15" hidden="false" customHeight="false" outlineLevel="0" collapsed="false">
      <c r="A53" s="2" t="s">
        <v>574</v>
      </c>
      <c r="B53" s="0" t="s">
        <v>25</v>
      </c>
      <c r="D53" s="11" t="n">
        <f aca="false">sga_var</f>
        <v>2800</v>
      </c>
      <c r="E53" s="11" t="n">
        <f aca="false">sga_var*(1-eff_B)^1</f>
        <v>2758</v>
      </c>
      <c r="F53" s="11" t="n">
        <f aca="false">sga_var*(1-eff_B)^2</f>
        <v>2716.63</v>
      </c>
      <c r="G53" s="11" t="n">
        <f aca="false">sga_var*(1-eff_B)^3</f>
        <v>2675.88055</v>
      </c>
      <c r="H53" s="11" t="n">
        <f aca="false">sga_var*(1-eff_B)^4</f>
        <v>2635.74234175</v>
      </c>
      <c r="I53" s="11" t="n">
        <f aca="false">sga_var*(1-eff_B)^5</f>
        <v>2596.20620662375</v>
      </c>
      <c r="J53" s="11" t="n">
        <f aca="false">sga_var*(1-eff_B)^6</f>
        <v>2557.26311352439</v>
      </c>
      <c r="K53" s="11" t="n">
        <f aca="false">sga_var*(1-eff_B)^7</f>
        <v>2518.90416682153</v>
      </c>
      <c r="L53" s="11" t="n">
        <f aca="false">sga_var*(1-eff_B)^8</f>
        <v>2481.1206043192</v>
      </c>
      <c r="M53" s="11" t="n">
        <f aca="false">sga_var*(1-eff_B)^9</f>
        <v>2443.90379525442</v>
      </c>
    </row>
    <row r="54" customFormat="false" ht="15" hidden="false" customHeight="false" outlineLevel="0" collapsed="false">
      <c r="A54" s="2" t="s">
        <v>575</v>
      </c>
      <c r="B54" s="2" t="s">
        <v>37</v>
      </c>
      <c r="D54" s="11" t="n">
        <f aca="false">MAX(cap_0,E34/util)</f>
        <v>1500000</v>
      </c>
      <c r="E54" s="11" t="n">
        <f aca="false">MAX(D54,MIN(F34,unit_cap)/util)</f>
        <v>1500000</v>
      </c>
      <c r="F54" s="11" t="n">
        <f aca="false">MAX(E54,MIN(G34,unit_cap)/util)</f>
        <v>1693709.27735294</v>
      </c>
      <c r="G54" s="11" t="n">
        <f aca="false">MAX(F54,MIN(H34,unit_cap)/util)</f>
        <v>1913891.48340882</v>
      </c>
      <c r="H54" s="11" t="n">
        <f aca="false">MAX(G54,MIN(I34,unit_cap)/util)</f>
        <v>2132075.11251743</v>
      </c>
      <c r="I54" s="11" t="n">
        <f aca="false">MAX(H54,MIN(J34,unit_cap)/util)</f>
        <v>2341018.47354414</v>
      </c>
      <c r="J54" s="11" t="n">
        <f aca="false">MAX(I54,MIN(K34,unit_cap)/util)</f>
        <v>2532981.98837476</v>
      </c>
      <c r="K54" s="11" t="n">
        <f aca="false">MAX(J54,MIN(L34,unit_cap)/util)</f>
        <v>2700158.79960749</v>
      </c>
      <c r="L54" s="11" t="n">
        <f aca="false">MAX(K54,MIN(M34,unit_cap)/util)</f>
        <v>2835166.73958787</v>
      </c>
      <c r="M54" s="11" t="n">
        <f aca="false">MAX(L54,MIN(M34*(1+M33),unit_cap)/util)</f>
        <v>2976925.07656726</v>
      </c>
    </row>
    <row r="55" customFormat="false" ht="17.15" hidden="false" customHeight="false" outlineLevel="0" collapsed="false">
      <c r="A55" s="2" t="s">
        <v>576</v>
      </c>
      <c r="B55" s="0" t="s">
        <v>166</v>
      </c>
      <c r="D55" s="11" t="n">
        <f aca="false">0</f>
        <v>0</v>
      </c>
      <c r="E55" s="11" t="n">
        <f aca="false">(E54-D54)*capcost/1000000</f>
        <v>0</v>
      </c>
      <c r="F55" s="11" t="n">
        <f aca="false">(F54-E54)*capcost/1000000</f>
        <v>116.225566411765</v>
      </c>
      <c r="G55" s="11" t="n">
        <f aca="false">(G54-F54)*capcost/1000000</f>
        <v>132.109323633529</v>
      </c>
      <c r="H55" s="11" t="n">
        <f aca="false">(H54-G54)*capcost/1000000</f>
        <v>130.910177465164</v>
      </c>
      <c r="I55" s="11" t="n">
        <f aca="false">(I54-H54)*capcost/1000000</f>
        <v>125.366016616025</v>
      </c>
      <c r="J55" s="11" t="n">
        <f aca="false">(J54-I54)*capcost/1000000</f>
        <v>115.178108898372</v>
      </c>
      <c r="K55" s="11" t="n">
        <f aca="false">(K54-J54)*capcost/1000000</f>
        <v>100.30608673964</v>
      </c>
      <c r="L55" s="11" t="n">
        <f aca="false">(L54-K54)*capcost/1000000</f>
        <v>81.0047639882248</v>
      </c>
      <c r="M55" s="11" t="n">
        <f aca="false">(M54-L54)*capcost/1000000</f>
        <v>85.055002187636</v>
      </c>
    </row>
    <row r="58" customFormat="false" ht="17.15" hidden="false" customHeight="false" outlineLevel="0" collapsed="false">
      <c r="A58" s="9" t="s">
        <v>578</v>
      </c>
    </row>
    <row r="59" customFormat="false" ht="15" hidden="false" customHeight="false" outlineLevel="0" collapsed="false">
      <c r="A59" s="4" t="s">
        <v>14</v>
      </c>
      <c r="B59" s="4" t="s">
        <v>15</v>
      </c>
      <c r="C59" s="8" t="s">
        <v>554</v>
      </c>
      <c r="D59" s="8" t="s">
        <v>555</v>
      </c>
      <c r="E59" s="8" t="s">
        <v>556</v>
      </c>
      <c r="F59" s="8" t="s">
        <v>557</v>
      </c>
      <c r="G59" s="8" t="s">
        <v>558</v>
      </c>
      <c r="H59" s="8" t="s">
        <v>559</v>
      </c>
      <c r="I59" s="8" t="s">
        <v>560</v>
      </c>
      <c r="J59" s="8" t="s">
        <v>561</v>
      </c>
      <c r="K59" s="8" t="s">
        <v>562</v>
      </c>
      <c r="L59" s="8" t="s">
        <v>563</v>
      </c>
      <c r="M59" s="8" t="s">
        <v>564</v>
      </c>
    </row>
    <row r="60" customFormat="false" ht="17.15" hidden="false" customHeight="false" outlineLevel="0" collapsed="false">
      <c r="A60" s="2" t="s">
        <v>565</v>
      </c>
      <c r="B60" s="0" t="s">
        <v>47</v>
      </c>
      <c r="C60" s="10" t="n">
        <f aca="false">Q!M4/Q!L4-1</f>
        <v>0.433034384697417</v>
      </c>
      <c r="D60" s="10" t="n">
        <f aca="false">D61/C61-1</f>
        <v>0.380789620559097</v>
      </c>
      <c r="E60" s="10" t="n">
        <f aca="false">g27_C</f>
        <v>-0.1</v>
      </c>
      <c r="F60" s="10" t="n">
        <f aca="false">g28_C</f>
        <v>0.05</v>
      </c>
      <c r="G60" s="10" t="n">
        <f aca="false">(g28_C+g30_C)/2</f>
        <v>0.075</v>
      </c>
      <c r="H60" s="10" t="n">
        <f aca="false">g30_C</f>
        <v>0.1</v>
      </c>
      <c r="I60" s="10" t="n">
        <f aca="false">g30_C+(g35_C-g30_C)*1/5</f>
        <v>0.088</v>
      </c>
      <c r="J60" s="10" t="n">
        <f aca="false">g30_C+(g35_C-g30_C)*2/5</f>
        <v>0.076</v>
      </c>
      <c r="K60" s="10" t="n">
        <f aca="false">g30_C+(g35_C-g30_C)*3/5</f>
        <v>0.064</v>
      </c>
      <c r="L60" s="10" t="n">
        <f aca="false">g30_C+(g35_C-g30_C)*4/5</f>
        <v>0.052</v>
      </c>
      <c r="M60" s="10" t="n">
        <f aca="false">g30_C+(g35_C-g30_C)*5/5</f>
        <v>0.04</v>
      </c>
    </row>
    <row r="61" customFormat="false" ht="15" hidden="false" customHeight="false" outlineLevel="0" collapsed="false">
      <c r="A61" s="2" t="s">
        <v>494</v>
      </c>
      <c r="B61" s="2" t="s">
        <v>37</v>
      </c>
      <c r="C61" s="11" t="n">
        <f aca="false">fy25_units</f>
        <v>596641</v>
      </c>
      <c r="D61" s="11" t="n">
        <f aca="false">ytd_units+u_q4</f>
        <v>823835.7</v>
      </c>
      <c r="E61" s="11" t="n">
        <f aca="false">MIN(D61*(1+E60),unit_cap)</f>
        <v>741452.13</v>
      </c>
      <c r="F61" s="11" t="n">
        <f aca="false">MIN(E61*(1+F60),unit_cap)</f>
        <v>778524.7365</v>
      </c>
      <c r="G61" s="11" t="n">
        <f aca="false">MIN(F61*(1+G60),unit_cap)</f>
        <v>836914.0917375</v>
      </c>
      <c r="H61" s="11" t="n">
        <f aca="false">MIN(G61*(1+H60),unit_cap)</f>
        <v>920605.50091125</v>
      </c>
      <c r="I61" s="11" t="n">
        <f aca="false">MIN(H61*(1+I60),unit_cap)</f>
        <v>1001618.78499144</v>
      </c>
      <c r="J61" s="11" t="n">
        <f aca="false">MIN(I61*(1+J60),unit_cap)</f>
        <v>1077741.81265079</v>
      </c>
      <c r="K61" s="11" t="n">
        <f aca="false">MIN(J61*(1+K60),unit_cap)</f>
        <v>1146717.28866044</v>
      </c>
      <c r="L61" s="11" t="n">
        <f aca="false">MIN(K61*(1+L60),unit_cap)</f>
        <v>1206346.58767078</v>
      </c>
      <c r="M61" s="11" t="n">
        <f aca="false">MIN(L61*(1+M60),unit_cap)</f>
        <v>1254600.45117761</v>
      </c>
    </row>
    <row r="62" customFormat="false" ht="15" hidden="false" customHeight="false" outlineLevel="0" collapsed="false">
      <c r="A62" s="2" t="s">
        <v>566</v>
      </c>
      <c r="B62" s="0" t="s">
        <v>25</v>
      </c>
      <c r="C62" s="11" t="n">
        <f aca="false">fy25_rev_ret*1000000/C61</f>
        <v>24364.7352428009</v>
      </c>
      <c r="D62" s="11" t="n">
        <f aca="false">(ytd_rev_ret*1000000+(D61-ytd_units)*asp_q4)/D61</f>
        <v>27609.6693795862</v>
      </c>
      <c r="E62" s="11" t="n">
        <f aca="false">D62*(1+asp_g)</f>
        <v>28161.862767178</v>
      </c>
      <c r="F62" s="11" t="n">
        <f aca="false">E62*(1+asp_g)</f>
        <v>28725.1000225215</v>
      </c>
      <c r="G62" s="11" t="n">
        <f aca="false">F62*(1+asp_g)</f>
        <v>29299.602022972</v>
      </c>
      <c r="H62" s="11" t="n">
        <f aca="false">G62*(1+asp_g)</f>
        <v>29885.5940634314</v>
      </c>
      <c r="I62" s="11" t="n">
        <f aca="false">H62*(1+asp_g)</f>
        <v>30483.3059447</v>
      </c>
      <c r="J62" s="11" t="n">
        <f aca="false">I62*(1+asp_g)</f>
        <v>31092.972063594</v>
      </c>
      <c r="K62" s="11" t="n">
        <f aca="false">J62*(1+asp_g)</f>
        <v>31714.8315048659</v>
      </c>
      <c r="L62" s="11" t="n">
        <f aca="false">K62*(1+asp_g)</f>
        <v>32349.1281349632</v>
      </c>
      <c r="M62" s="11" t="n">
        <f aca="false">L62*(1+asp_g)</f>
        <v>32996.1106976625</v>
      </c>
    </row>
    <row r="63" customFormat="false" ht="15" hidden="false" customHeight="false" outlineLevel="0" collapsed="false">
      <c r="A63" s="2" t="s">
        <v>496</v>
      </c>
      <c r="B63" s="0" t="s">
        <v>166</v>
      </c>
      <c r="C63" s="11" t="n">
        <f aca="false">C61*C62/1000000</f>
        <v>14537</v>
      </c>
      <c r="D63" s="11" t="n">
        <f aca="false">D61*D62/1000000</f>
        <v>22745.8313001</v>
      </c>
      <c r="E63" s="11" t="n">
        <f aca="false">E61*E62/1000000</f>
        <v>20880.6731334918</v>
      </c>
      <c r="F63" s="11" t="n">
        <f aca="false">F61*F62/1000000</f>
        <v>22363.2009259697</v>
      </c>
      <c r="G63" s="11" t="n">
        <f aca="false">G61*G62/1000000</f>
        <v>24521.2498153258</v>
      </c>
      <c r="H63" s="11" t="n">
        <f aca="false">H61*H62/1000000</f>
        <v>27512.8422927955</v>
      </c>
      <c r="I63" s="11" t="n">
        <f aca="false">I61*I62/1000000</f>
        <v>30532.6518628528</v>
      </c>
      <c r="J63" s="11" t="n">
        <f aca="false">J61*J62/1000000</f>
        <v>33510.1960725182</v>
      </c>
      <c r="K63" s="11" t="n">
        <f aca="false">K61*K62/1000000</f>
        <v>36367.9455935826</v>
      </c>
      <c r="L63" s="11" t="n">
        <f aca="false">L61*L62/1000000</f>
        <v>39024.2603397378</v>
      </c>
      <c r="M63" s="11" t="n">
        <f aca="false">M61*M62/1000000</f>
        <v>41396.9353683939</v>
      </c>
    </row>
    <row r="64" customFormat="false" ht="15" hidden="false" customHeight="false" outlineLevel="0" collapsed="false">
      <c r="A64" s="2" t="s">
        <v>567</v>
      </c>
      <c r="B64" s="0" t="s">
        <v>25</v>
      </c>
      <c r="C64" s="11" t="n">
        <f aca="false">fy25_rev_whs*1000000/C61</f>
        <v>6791.3535945401</v>
      </c>
      <c r="D64" s="11" t="n">
        <f aca="false">(ytd_rev_whs*1000000+(D61-ytd_units)*whs_pu)/D61</f>
        <v>6183.32743733215</v>
      </c>
      <c r="E64" s="11" t="n">
        <f aca="false">D64*(1+asp_g)</f>
        <v>6306.99398607879</v>
      </c>
      <c r="F64" s="11" t="n">
        <f aca="false">E64*(1+asp_g)</f>
        <v>6433.13386580037</v>
      </c>
      <c r="G64" s="11" t="n">
        <f aca="false">F64*(1+asp_g)</f>
        <v>6561.79654311638</v>
      </c>
      <c r="H64" s="11" t="n">
        <f aca="false">G64*(1+asp_g)</f>
        <v>6693.03247397871</v>
      </c>
      <c r="I64" s="11" t="n">
        <f aca="false">H64*(1+asp_g)</f>
        <v>6826.89312345828</v>
      </c>
      <c r="J64" s="11" t="n">
        <f aca="false">I64*(1+asp_g)</f>
        <v>6963.43098592745</v>
      </c>
      <c r="K64" s="11" t="n">
        <f aca="false">J64*(1+asp_g)</f>
        <v>7102.699605646</v>
      </c>
      <c r="L64" s="11" t="n">
        <f aca="false">K64*(1+asp_g)</f>
        <v>7244.75359775892</v>
      </c>
      <c r="M64" s="11" t="n">
        <f aca="false">L64*(1+asp_g)</f>
        <v>7389.64866971409</v>
      </c>
    </row>
    <row r="65" customFormat="false" ht="15" hidden="false" customHeight="false" outlineLevel="0" collapsed="false">
      <c r="A65" s="2" t="s">
        <v>497</v>
      </c>
      <c r="B65" s="0" t="s">
        <v>166</v>
      </c>
      <c r="C65" s="11" t="n">
        <f aca="false">C61*C64/1000000</f>
        <v>4052</v>
      </c>
      <c r="D65" s="11" t="n">
        <f aca="false">D61*D64/1000000</f>
        <v>5094.04588766374</v>
      </c>
      <c r="E65" s="11" t="n">
        <f aca="false">E61*E64/1000000</f>
        <v>4676.33412487531</v>
      </c>
      <c r="F65" s="11" t="n">
        <f aca="false">F61*F64/1000000</f>
        <v>5008.35384774146</v>
      </c>
      <c r="G65" s="11" t="n">
        <f aca="false">G61*G64/1000000</f>
        <v>5491.65999404851</v>
      </c>
      <c r="H65" s="11" t="n">
        <f aca="false">H61*H64/1000000</f>
        <v>6161.64251332243</v>
      </c>
      <c r="I65" s="11" t="n">
        <f aca="false">I61*I64/1000000</f>
        <v>6837.9443955847</v>
      </c>
      <c r="J65" s="11" t="n">
        <f aca="false">J61*J64/1000000</f>
        <v>7504.78073304212</v>
      </c>
      <c r="K65" s="11" t="n">
        <f aca="false">K61*K64/1000000</f>
        <v>8144.78843395596</v>
      </c>
      <c r="L65" s="11" t="n">
        <f aca="false">L61*L64/1000000</f>
        <v>8739.6837811721</v>
      </c>
      <c r="M65" s="11" t="n">
        <f aca="false">M61*M64/1000000</f>
        <v>9271.05655506736</v>
      </c>
    </row>
    <row r="66" customFormat="false" ht="15" hidden="false" customHeight="false" outlineLevel="0" collapsed="false">
      <c r="A66" s="2" t="s">
        <v>531</v>
      </c>
      <c r="B66" s="0" t="s">
        <v>25</v>
      </c>
      <c r="C66" s="11" t="n">
        <f aca="false">fy25_gp_ret*1000000/C61</f>
        <v>3315.22640918073</v>
      </c>
      <c r="D66" s="11" t="n">
        <f aca="false">(ytd_gp_ret*1000000+(D61-ytd_units)*(gpr_q4+q4_adj))/D61</f>
        <v>3303.37937673738</v>
      </c>
      <c r="E66" s="11" t="n">
        <f aca="false">gpr27_C</f>
        <v>2700</v>
      </c>
      <c r="F66" s="11" t="n">
        <f aca="false">gpr27_C+(gprLT_C-gpr27_C)/3</f>
        <v>2833.33333333333</v>
      </c>
      <c r="G66" s="11" t="n">
        <f aca="false">gpr27_C+(gprLT_C-gpr27_C)*2/3</f>
        <v>2966.66666666667</v>
      </c>
      <c r="H66" s="11" t="n">
        <f aca="false">gprLT_C</f>
        <v>3100</v>
      </c>
      <c r="I66" s="11" t="n">
        <f aca="false">gprLT_C</f>
        <v>3100</v>
      </c>
      <c r="J66" s="11" t="n">
        <f aca="false">gprLT_C</f>
        <v>3100</v>
      </c>
      <c r="K66" s="11" t="n">
        <f aca="false">gprLT_C</f>
        <v>3100</v>
      </c>
      <c r="L66" s="11" t="n">
        <f aca="false">gprLT_C</f>
        <v>3100</v>
      </c>
      <c r="M66" s="11" t="n">
        <f aca="false">gprLT_C</f>
        <v>3100</v>
      </c>
    </row>
    <row r="67" customFormat="false" ht="15" hidden="false" customHeight="false" outlineLevel="0" collapsed="false">
      <c r="A67" s="2" t="s">
        <v>568</v>
      </c>
      <c r="B67" s="0" t="s">
        <v>25</v>
      </c>
      <c r="C67" s="11" t="n">
        <f aca="false">fy25_gp_whs*1000000/C61</f>
        <v>806.179930645061</v>
      </c>
      <c r="D67" s="11" t="n">
        <f aca="false">(ytd_gp_whs*1000000+(D61-ytd_units)*gpw_h2)/D61</f>
        <v>753.77499615518</v>
      </c>
      <c r="E67" s="11" t="n">
        <f aca="false">gpw27_C</f>
        <v>650</v>
      </c>
      <c r="F67" s="11" t="n">
        <f aca="false">gpw27_C+(gpw_h2-gpw27_C)/3</f>
        <v>669.333333333333</v>
      </c>
      <c r="G67" s="11" t="n">
        <f aca="false">gpw27_C+(gpw_h2-gpw27_C)*2/3</f>
        <v>688.666666666667</v>
      </c>
      <c r="H67" s="11" t="n">
        <f aca="false">gpw_h2</f>
        <v>708</v>
      </c>
      <c r="I67" s="11" t="n">
        <f aca="false">gpw_h2</f>
        <v>708</v>
      </c>
      <c r="J67" s="11" t="n">
        <f aca="false">gpw_h2</f>
        <v>708</v>
      </c>
      <c r="K67" s="11" t="n">
        <f aca="false">gpw_h2</f>
        <v>708</v>
      </c>
      <c r="L67" s="11" t="n">
        <f aca="false">gpw_h2</f>
        <v>708</v>
      </c>
      <c r="M67" s="11" t="n">
        <f aca="false">gpw_h2</f>
        <v>708</v>
      </c>
    </row>
    <row r="68" customFormat="false" ht="15" hidden="false" customHeight="false" outlineLevel="0" collapsed="false">
      <c r="A68" s="2" t="s">
        <v>569</v>
      </c>
      <c r="B68" s="0" t="s">
        <v>25</v>
      </c>
      <c r="C68" s="11" t="n">
        <f aca="false">fy25_orig*1000000/C61</f>
        <v>21465.1691720817</v>
      </c>
      <c r="D68" s="11" t="n">
        <f aca="false">(ytd_orig*1000000+(D61-ytd_units)*opu)/D61</f>
        <v>23636.5576291486</v>
      </c>
      <c r="E68" s="11" t="n">
        <f aca="false">D68*(1+asp_g)</f>
        <v>24109.2887817316</v>
      </c>
      <c r="F68" s="11" t="n">
        <f aca="false">E68*(1+asp_g)</f>
        <v>24591.4745573662</v>
      </c>
      <c r="G68" s="11" t="n">
        <f aca="false">F68*(1+asp_g)</f>
        <v>25083.3040485136</v>
      </c>
      <c r="H68" s="11" t="n">
        <f aca="false">G68*(1+asp_g)</f>
        <v>25584.9701294838</v>
      </c>
      <c r="I68" s="11" t="n">
        <f aca="false">H68*(1+asp_g)</f>
        <v>26096.6695320735</v>
      </c>
      <c r="J68" s="11" t="n">
        <f aca="false">I68*(1+asp_g)</f>
        <v>26618.602922715</v>
      </c>
      <c r="K68" s="11" t="n">
        <f aca="false">J68*(1+asp_g)</f>
        <v>27150.9749811693</v>
      </c>
      <c r="L68" s="11" t="n">
        <f aca="false">K68*(1+asp_g)</f>
        <v>27693.9944807927</v>
      </c>
      <c r="M68" s="11" t="n">
        <f aca="false">L68*(1+asp_g)</f>
        <v>28247.8743704085</v>
      </c>
    </row>
    <row r="69" customFormat="false" ht="15" hidden="false" customHeight="false" outlineLevel="0" collapsed="false">
      <c r="A69" s="2" t="s">
        <v>506</v>
      </c>
      <c r="B69" s="0" t="s">
        <v>166</v>
      </c>
      <c r="C69" s="11" t="n">
        <f aca="false">C61*C68/1000000</f>
        <v>12807</v>
      </c>
      <c r="D69" s="11" t="n">
        <f aca="false">D61*D68/1000000</f>
        <v>19472.64</v>
      </c>
      <c r="E69" s="11" t="n">
        <f aca="false">E61*E68/1000000</f>
        <v>17875.88352</v>
      </c>
      <c r="F69" s="11" t="n">
        <f aca="false">F61*F68/1000000</f>
        <v>19145.07124992</v>
      </c>
      <c r="G69" s="11" t="n">
        <f aca="false">G61*G68/1000000</f>
        <v>20992.5706255373</v>
      </c>
      <c r="H69" s="11" t="n">
        <f aca="false">H61*H68/1000000</f>
        <v>23553.6642418528</v>
      </c>
      <c r="I69" s="11" t="n">
        <f aca="false">I61*I68/1000000</f>
        <v>26138.9144290386</v>
      </c>
      <c r="J69" s="11" t="n">
        <f aca="false">J61*J68/1000000</f>
        <v>28687.9813641585</v>
      </c>
      <c r="K69" s="11" t="n">
        <f aca="false">K61*K68/1000000</f>
        <v>31134.4924148939</v>
      </c>
      <c r="L69" s="11" t="n">
        <f aca="false">L61*L68/1000000</f>
        <v>33408.5557408777</v>
      </c>
      <c r="M69" s="11" t="n">
        <f aca="false">M61*M68/1000000</f>
        <v>35439.7959299231</v>
      </c>
    </row>
    <row r="70" customFormat="false" ht="15" hidden="false" customHeight="false" outlineLevel="0" collapsed="false">
      <c r="A70" s="2" t="s">
        <v>529</v>
      </c>
      <c r="B70" s="0" t="s">
        <v>47</v>
      </c>
      <c r="C70" s="12" t="n">
        <f aca="false">fy25_gos/fy25_orig</f>
        <v>0.0931521824002499</v>
      </c>
      <c r="D70" s="12" t="n">
        <f aca="false">(ytd_gos+(D69-ytd_orig)*gos_h2)/D69</f>
        <v>0.0756250821665681</v>
      </c>
      <c r="E70" s="12" t="n">
        <f aca="false">gos27_C</f>
        <v>0.034</v>
      </c>
      <c r="F70" s="12" t="n">
        <f aca="false">gos27_C+(gosLT_C-gos27_C)/3</f>
        <v>0.0426666666666667</v>
      </c>
      <c r="G70" s="12" t="n">
        <f aca="false">gos27_C+(gosLT_C-gos27_C)*2/3</f>
        <v>0.0513333333333333</v>
      </c>
      <c r="H70" s="12" t="n">
        <f aca="false">gosLT_C</f>
        <v>0.06</v>
      </c>
      <c r="I70" s="12" t="n">
        <f aca="false">gosLT_C</f>
        <v>0.06</v>
      </c>
      <c r="J70" s="12" t="n">
        <f aca="false">gosLT_C</f>
        <v>0.06</v>
      </c>
      <c r="K70" s="12" t="n">
        <f aca="false">gosLT_C</f>
        <v>0.06</v>
      </c>
      <c r="L70" s="12" t="n">
        <f aca="false">gosLT_C</f>
        <v>0.06</v>
      </c>
      <c r="M70" s="12" t="n">
        <f aca="false">gosLT_C</f>
        <v>0.06</v>
      </c>
    </row>
    <row r="71" customFormat="false" ht="15" hidden="false" customHeight="false" outlineLevel="0" collapsed="false">
      <c r="A71" s="2" t="s">
        <v>570</v>
      </c>
      <c r="B71" s="0" t="s">
        <v>166</v>
      </c>
      <c r="C71" s="11" t="n">
        <f aca="false">C69*C70</f>
        <v>1193</v>
      </c>
      <c r="D71" s="11" t="n">
        <f aca="false">D69*D70</f>
        <v>1472.62</v>
      </c>
      <c r="E71" s="11" t="n">
        <f aca="false">E69*E70</f>
        <v>607.78003968</v>
      </c>
      <c r="F71" s="11" t="n">
        <f aca="false">F69*F70</f>
        <v>816.85637332992</v>
      </c>
      <c r="G71" s="11" t="n">
        <f aca="false">G69*G70</f>
        <v>1077.61862544425</v>
      </c>
      <c r="H71" s="11" t="n">
        <f aca="false">H69*H70</f>
        <v>1413.21985451117</v>
      </c>
      <c r="I71" s="11" t="n">
        <f aca="false">I69*I70</f>
        <v>1568.33486574232</v>
      </c>
      <c r="J71" s="11" t="n">
        <f aca="false">J69*J70</f>
        <v>1721.27888184951</v>
      </c>
      <c r="K71" s="11" t="n">
        <f aca="false">K69*K70</f>
        <v>1868.06954489363</v>
      </c>
      <c r="L71" s="11" t="n">
        <f aca="false">L69*L70</f>
        <v>2004.51334445266</v>
      </c>
      <c r="M71" s="11" t="n">
        <f aca="false">M69*M70</f>
        <v>2126.38775579539</v>
      </c>
    </row>
    <row r="72" customFormat="false" ht="15" hidden="false" customHeight="false" outlineLevel="0" collapsed="false">
      <c r="A72" s="2" t="s">
        <v>571</v>
      </c>
      <c r="B72" s="0" t="s">
        <v>25</v>
      </c>
      <c r="C72" s="11" t="n">
        <f aca="false">(Q!M8-fy25_gos)*1000000/C61</f>
        <v>905.066866004851</v>
      </c>
      <c r="D72" s="11" t="n">
        <f aca="false">((Q!K8-ytd_gos)*1000000+(D61-ytd_units)*oth_pu)/D61</f>
        <v>945.892488028863</v>
      </c>
      <c r="E72" s="11" t="n">
        <f aca="false">D72*(1+oth_g)</f>
        <v>945.892488028863</v>
      </c>
      <c r="F72" s="11" t="n">
        <f aca="false">E72*(1+oth_g)</f>
        <v>945.892488028863</v>
      </c>
      <c r="G72" s="11" t="n">
        <f aca="false">F72*(1+oth_g)</f>
        <v>945.892488028863</v>
      </c>
      <c r="H72" s="11" t="n">
        <f aca="false">G72*(1+oth_g)</f>
        <v>945.892488028863</v>
      </c>
      <c r="I72" s="11" t="n">
        <f aca="false">H72*(1+oth_g)</f>
        <v>945.892488028863</v>
      </c>
      <c r="J72" s="11" t="n">
        <f aca="false">I72*(1+oth_g)</f>
        <v>945.892488028863</v>
      </c>
      <c r="K72" s="11" t="n">
        <f aca="false">J72*(1+oth_g)</f>
        <v>945.892488028863</v>
      </c>
      <c r="L72" s="11" t="n">
        <f aca="false">K72*(1+oth_g)</f>
        <v>945.892488028863</v>
      </c>
      <c r="M72" s="11" t="n">
        <f aca="false">L72*(1+oth_g)</f>
        <v>945.892488028863</v>
      </c>
    </row>
    <row r="73" customFormat="false" ht="17.15" hidden="false" customHeight="false" outlineLevel="0" collapsed="false">
      <c r="A73" s="2" t="s">
        <v>572</v>
      </c>
      <c r="B73" s="0" t="s">
        <v>166</v>
      </c>
      <c r="C73" s="11" t="n">
        <f aca="false">C61*C72/1000000</f>
        <v>540</v>
      </c>
      <c r="D73" s="11" t="n">
        <f aca="false">D61*D72/1000000</f>
        <v>779.26</v>
      </c>
      <c r="E73" s="11" t="n">
        <f aca="false">E61*E72/1000000</f>
        <v>701.334</v>
      </c>
      <c r="F73" s="11" t="n">
        <f aca="false">F61*F72/1000000</f>
        <v>736.4007</v>
      </c>
      <c r="G73" s="11" t="n">
        <f aca="false">G61*G72/1000000</f>
        <v>791.6307525</v>
      </c>
      <c r="H73" s="11" t="n">
        <f aca="false">H61*H72/1000000</f>
        <v>870.79382775</v>
      </c>
      <c r="I73" s="11" t="n">
        <f aca="false">I61*I72/1000000</f>
        <v>947.423684592</v>
      </c>
      <c r="J73" s="11" t="n">
        <f aca="false">J61*J72/1000000</f>
        <v>1019.42788462099</v>
      </c>
      <c r="K73" s="11" t="n">
        <f aca="false">K61*K72/1000000</f>
        <v>1084.67126923674</v>
      </c>
      <c r="L73" s="11" t="n">
        <f aca="false">L61*L72/1000000</f>
        <v>1141.07417523705</v>
      </c>
      <c r="M73" s="11" t="n">
        <f aca="false">M61*M72/1000000</f>
        <v>1186.71714224653</v>
      </c>
    </row>
    <row r="74" customFormat="false" ht="15" hidden="false" customHeight="false" outlineLevel="0" collapsed="false">
      <c r="A74" s="2" t="s">
        <v>500</v>
      </c>
      <c r="B74" s="0" t="s">
        <v>166</v>
      </c>
      <c r="C74" s="11" t="n">
        <f aca="false">C61*C66/1000000</f>
        <v>1978</v>
      </c>
      <c r="D74" s="11" t="n">
        <f aca="false">D61*D66/1000000</f>
        <v>2721.4418612</v>
      </c>
      <c r="E74" s="11" t="n">
        <f aca="false">E61*E66/1000000</f>
        <v>2001.920751</v>
      </c>
      <c r="F74" s="11" t="n">
        <f aca="false">F61*F66/1000000</f>
        <v>2205.82008675</v>
      </c>
      <c r="G74" s="11" t="n">
        <f aca="false">G61*G66/1000000</f>
        <v>2482.84513882125</v>
      </c>
      <c r="H74" s="11" t="n">
        <f aca="false">H61*H66/1000000</f>
        <v>2853.87705282487</v>
      </c>
      <c r="I74" s="11" t="n">
        <f aca="false">I61*I66/1000000</f>
        <v>3105.01823347346</v>
      </c>
      <c r="J74" s="11" t="n">
        <f aca="false">J61*J66/1000000</f>
        <v>3340.99961921745</v>
      </c>
      <c r="K74" s="11" t="n">
        <f aca="false">K61*K66/1000000</f>
        <v>3554.82359484737</v>
      </c>
      <c r="L74" s="11" t="n">
        <f aca="false">L61*L66/1000000</f>
        <v>3739.67442177943</v>
      </c>
      <c r="M74" s="11" t="n">
        <f aca="false">M61*M66/1000000</f>
        <v>3889.26139865061</v>
      </c>
    </row>
    <row r="75" customFormat="false" ht="15" hidden="false" customHeight="false" outlineLevel="0" collapsed="false">
      <c r="A75" s="2" t="s">
        <v>501</v>
      </c>
      <c r="B75" s="0" t="s">
        <v>166</v>
      </c>
      <c r="C75" s="11" t="n">
        <f aca="false">C61*C67/1000000</f>
        <v>481</v>
      </c>
      <c r="D75" s="11" t="n">
        <f aca="false">D61*D67/1000000</f>
        <v>620.9867516</v>
      </c>
      <c r="E75" s="11" t="n">
        <f aca="false">E61*E67/1000000</f>
        <v>481.9438845</v>
      </c>
      <c r="F75" s="11" t="n">
        <f aca="false">F61*F67/1000000</f>
        <v>521.092556964</v>
      </c>
      <c r="G75" s="11" t="n">
        <f aca="false">G61*G67/1000000</f>
        <v>576.354837843225</v>
      </c>
      <c r="H75" s="11" t="n">
        <f aca="false">H61*H67/1000000</f>
        <v>651.788694645165</v>
      </c>
      <c r="I75" s="11" t="n">
        <f aca="false">I61*I67/1000000</f>
        <v>709.14609977394</v>
      </c>
      <c r="J75" s="11" t="n">
        <f aca="false">J61*J67/1000000</f>
        <v>763.041203356759</v>
      </c>
      <c r="K75" s="11" t="n">
        <f aca="false">K61*K67/1000000</f>
        <v>811.875840371592</v>
      </c>
      <c r="L75" s="11" t="n">
        <f aca="false">L61*L67/1000000</f>
        <v>854.093384070915</v>
      </c>
      <c r="M75" s="11" t="n">
        <f aca="false">M61*M67/1000000</f>
        <v>888.257119433751</v>
      </c>
    </row>
    <row r="76" customFormat="false" ht="15" hidden="false" customHeight="false" outlineLevel="0" collapsed="false">
      <c r="A76" s="2" t="s">
        <v>524</v>
      </c>
      <c r="B76" s="0" t="s">
        <v>166</v>
      </c>
      <c r="C76" s="11" t="n">
        <f aca="false">C71+C73</f>
        <v>1733</v>
      </c>
      <c r="D76" s="11" t="n">
        <f aca="false">D71+D73</f>
        <v>2251.88</v>
      </c>
      <c r="E76" s="11" t="n">
        <f aca="false">E71+E73</f>
        <v>1309.11403968</v>
      </c>
      <c r="F76" s="11" t="n">
        <f aca="false">F71+F73</f>
        <v>1553.25707332992</v>
      </c>
      <c r="G76" s="11" t="n">
        <f aca="false">G71+G73</f>
        <v>1869.24937794425</v>
      </c>
      <c r="H76" s="11" t="n">
        <f aca="false">H71+H73</f>
        <v>2284.01368226117</v>
      </c>
      <c r="I76" s="11" t="n">
        <f aca="false">I71+I73</f>
        <v>2515.75855033432</v>
      </c>
      <c r="J76" s="11" t="n">
        <f aca="false">J71+J73</f>
        <v>2740.7067664705</v>
      </c>
      <c r="K76" s="11" t="n">
        <f aca="false">K71+K73</f>
        <v>2952.74081413037</v>
      </c>
      <c r="L76" s="11" t="n">
        <f aca="false">L71+L73</f>
        <v>3145.58751968971</v>
      </c>
      <c r="M76" s="11" t="n">
        <f aca="false">M71+M73</f>
        <v>3313.10489804191</v>
      </c>
    </row>
    <row r="77" customFormat="false" ht="15" hidden="false" customHeight="false" outlineLevel="0" collapsed="false">
      <c r="A77" s="2" t="s">
        <v>573</v>
      </c>
      <c r="B77" s="0" t="s">
        <v>25</v>
      </c>
      <c r="C77" s="11" t="n">
        <f aca="false">(C74+C75+C76)*1000000/C61</f>
        <v>7026.00055980062</v>
      </c>
      <c r="D77" s="11" t="n">
        <f aca="false">(D74+D75+D76)*1000000/D61</f>
        <v>6790.56347376061</v>
      </c>
      <c r="E77" s="11" t="n">
        <f aca="false">(E74+E75+E76)*1000000/E61</f>
        <v>5115.60830660774</v>
      </c>
      <c r="F77" s="11" t="n">
        <f aca="false">(F74+F75+F76)*1000000/F61</f>
        <v>5497.79540247649</v>
      </c>
      <c r="G77" s="11" t="n">
        <f aca="false">(G74+G75+G76)*1000000/G61</f>
        <v>5888.83542918589</v>
      </c>
      <c r="H77" s="11" t="n">
        <f aca="false">(H74+H75+H76)*1000000/H61</f>
        <v>6288.99069579789</v>
      </c>
      <c r="I77" s="11" t="n">
        <f aca="false">(I74+I75+I76)*1000000/I61</f>
        <v>6319.69265995327</v>
      </c>
      <c r="J77" s="11" t="n">
        <f aca="false">(J74+J75+J76)*1000000/J61</f>
        <v>6351.00866339176</v>
      </c>
      <c r="K77" s="11" t="n">
        <f aca="false">(K74+K75+K76)*1000000/K61</f>
        <v>6382.95098689902</v>
      </c>
      <c r="L77" s="11" t="n">
        <f aca="false">(L74+L75+L76)*1000000/L61</f>
        <v>6415.53215687642</v>
      </c>
      <c r="M77" s="11" t="n">
        <f aca="false">(M74+M75+M76)*1000000/M61</f>
        <v>6448.76495025338</v>
      </c>
    </row>
    <row r="78" customFormat="false" ht="15" hidden="false" customHeight="false" outlineLevel="0" collapsed="false">
      <c r="A78" s="0" t="s">
        <v>502</v>
      </c>
      <c r="B78" s="0" t="s">
        <v>166</v>
      </c>
      <c r="C78" s="11" t="n">
        <f aca="false">Q!M12</f>
        <v>2308</v>
      </c>
      <c r="D78" s="11" t="n">
        <f aca="false">ytd_sga+sga_fix+(D61-ytd_units)*sga_var/1000000</f>
        <v>2989.85156</v>
      </c>
      <c r="E78" s="11" t="n">
        <f aca="false">4*sga_fix*(1+infl)^1+E61*sga_var*(1-eff_C)^1/1000000</f>
        <v>2776.465964</v>
      </c>
      <c r="F78" s="11" t="n">
        <f aca="false">4*sga_fix*(1+infl)^2+F61*sga_var*(1-eff_C)^2/1000000</f>
        <v>2901.2812622</v>
      </c>
      <c r="G78" s="11" t="n">
        <f aca="false">4*sga_fix*(1+infl)^3+G61*sga_var*(1-eff_C)^3/1000000</f>
        <v>3086.413816865</v>
      </c>
      <c r="H78" s="11" t="n">
        <f aca="false">4*sga_fix*(1+infl)^4+H61*sga_var*(1-eff_C)^4/1000000</f>
        <v>3343.0413933515</v>
      </c>
      <c r="I78" s="11" t="n">
        <f aca="false">4*sga_fix*(1+infl)^5+I61*sga_var*(1-eff_C)^5/1000000</f>
        <v>3592.83896850003</v>
      </c>
      <c r="J78" s="11" t="n">
        <f aca="false">4*sga_fix*(1+infl)^6+J61*sga_var*(1-eff_C)^6/1000000</f>
        <v>3829.63263706193</v>
      </c>
      <c r="K78" s="11" t="n">
        <f aca="false">4*sga_fix*(1+infl)^7+K61*sga_var*(1-eff_C)^7/1000000</f>
        <v>4047.12263673815</v>
      </c>
      <c r="L78" s="11" t="n">
        <f aca="false">4*sga_fix*(1+infl)^8+L61*sga_var*(1-eff_C)^8/1000000</f>
        <v>4239.17410082177</v>
      </c>
      <c r="M78" s="11" t="n">
        <f aca="false">4*sga_fix*(1+infl)^9+M61*sga_var*(1-eff_C)^9/1000000</f>
        <v>4400.12702830121</v>
      </c>
    </row>
    <row r="79" customFormat="false" ht="17.15" hidden="false" customHeight="false" outlineLevel="0" collapsed="false">
      <c r="A79" s="0" t="s">
        <v>533</v>
      </c>
      <c r="B79" s="0" t="s">
        <v>25</v>
      </c>
      <c r="C79" s="11" t="n">
        <f aca="false">C78*1000000/C61</f>
        <v>3868.32282729481</v>
      </c>
      <c r="D79" s="11" t="n">
        <f aca="false">D78*1000000/D61</f>
        <v>3629.18426574619</v>
      </c>
      <c r="E79" s="11" t="n">
        <f aca="false">E78*1000000/E61</f>
        <v>3744.63279780449</v>
      </c>
      <c r="F79" s="11" t="n">
        <f aca="false">F78*1000000/F61</f>
        <v>3726.63979213203</v>
      </c>
      <c r="G79" s="11" t="n">
        <f aca="false">G78*1000000/G61</f>
        <v>3687.85021943813</v>
      </c>
      <c r="H79" s="11" t="n">
        <f aca="false">H78*1000000/H61</f>
        <v>3631.35066001934</v>
      </c>
      <c r="I79" s="11" t="n">
        <f aca="false">I78*1000000/I61</f>
        <v>3587.03233439331</v>
      </c>
      <c r="J79" s="11" t="n">
        <f aca="false">J78*1000000/J61</f>
        <v>3553.3859706553</v>
      </c>
      <c r="K79" s="11" t="n">
        <f aca="false">K78*1000000/K61</f>
        <v>3529.31160693135</v>
      </c>
      <c r="L79" s="11" t="n">
        <f aca="false">L78*1000000/L61</f>
        <v>3514.0598432883</v>
      </c>
      <c r="M79" s="11" t="n">
        <f aca="false">M78*1000000/M61</f>
        <v>3507.19388325669</v>
      </c>
    </row>
    <row r="80" customFormat="false" ht="17.15" hidden="false" customHeight="false" outlineLevel="0" collapsed="false">
      <c r="A80" s="2" t="s">
        <v>574</v>
      </c>
      <c r="B80" s="0" t="s">
        <v>25</v>
      </c>
      <c r="D80" s="11" t="n">
        <f aca="false">sga_var</f>
        <v>2800</v>
      </c>
      <c r="E80" s="11" t="n">
        <f aca="false">sga_var*(1-eff_C)^1</f>
        <v>2800</v>
      </c>
      <c r="F80" s="11" t="n">
        <f aca="false">sga_var*(1-eff_C)^2</f>
        <v>2800</v>
      </c>
      <c r="G80" s="11" t="n">
        <f aca="false">sga_var*(1-eff_C)^3</f>
        <v>2800</v>
      </c>
      <c r="H80" s="11" t="n">
        <f aca="false">sga_var*(1-eff_C)^4</f>
        <v>2800</v>
      </c>
      <c r="I80" s="11" t="n">
        <f aca="false">sga_var*(1-eff_C)^5</f>
        <v>2800</v>
      </c>
      <c r="J80" s="11" t="n">
        <f aca="false">sga_var*(1-eff_C)^6</f>
        <v>2800</v>
      </c>
      <c r="K80" s="11" t="n">
        <f aca="false">sga_var*(1-eff_C)^7</f>
        <v>2800</v>
      </c>
      <c r="L80" s="11" t="n">
        <f aca="false">sga_var*(1-eff_C)^8</f>
        <v>2800</v>
      </c>
      <c r="M80" s="11" t="n">
        <f aca="false">sga_var*(1-eff_C)^9</f>
        <v>2800</v>
      </c>
    </row>
    <row r="81" customFormat="false" ht="15" hidden="false" customHeight="false" outlineLevel="0" collapsed="false">
      <c r="A81" s="2" t="s">
        <v>575</v>
      </c>
      <c r="B81" s="2" t="s">
        <v>37</v>
      </c>
      <c r="D81" s="11" t="n">
        <f aca="false">MAX(cap_0,E61/util)</f>
        <v>1500000</v>
      </c>
      <c r="E81" s="11" t="n">
        <f aca="false">MAX(D81,MIN(F61,unit_cap)/util)</f>
        <v>1500000</v>
      </c>
      <c r="F81" s="11" t="n">
        <f aca="false">MAX(E81,MIN(G61,unit_cap)/util)</f>
        <v>1500000</v>
      </c>
      <c r="G81" s="11" t="n">
        <f aca="false">MAX(F81,MIN(H61,unit_cap)/util)</f>
        <v>1500000</v>
      </c>
      <c r="H81" s="11" t="n">
        <f aca="false">MAX(G81,MIN(I61,unit_cap)/util)</f>
        <v>1500000</v>
      </c>
      <c r="I81" s="11" t="n">
        <f aca="false">MAX(H81,MIN(J61,unit_cap)/util)</f>
        <v>1500000</v>
      </c>
      <c r="J81" s="11" t="n">
        <f aca="false">MAX(I81,MIN(K61,unit_cap)/util)</f>
        <v>1500000</v>
      </c>
      <c r="K81" s="11" t="n">
        <f aca="false">MAX(J81,MIN(L61,unit_cap)/util)</f>
        <v>1500000</v>
      </c>
      <c r="L81" s="11" t="n">
        <f aca="false">MAX(K81,MIN(M61,unit_cap)/util)</f>
        <v>1500000</v>
      </c>
      <c r="M81" s="11" t="n">
        <f aca="false">MAX(L81,MIN(M61*(1+M60),unit_cap)/util)</f>
        <v>1535040.55202908</v>
      </c>
    </row>
    <row r="82" customFormat="false" ht="17.15" hidden="false" customHeight="false" outlineLevel="0" collapsed="false">
      <c r="A82" s="2" t="s">
        <v>576</v>
      </c>
      <c r="B82" s="0" t="s">
        <v>166</v>
      </c>
      <c r="D82" s="11" t="n">
        <f aca="false">0</f>
        <v>0</v>
      </c>
      <c r="E82" s="11" t="n">
        <f aca="false">(E81-D81)*capcost/1000000</f>
        <v>0</v>
      </c>
      <c r="F82" s="11" t="n">
        <f aca="false">(F81-E81)*capcost/1000000</f>
        <v>0</v>
      </c>
      <c r="G82" s="11" t="n">
        <f aca="false">(G81-F81)*capcost/1000000</f>
        <v>0</v>
      </c>
      <c r="H82" s="11" t="n">
        <f aca="false">(H81-G81)*capcost/1000000</f>
        <v>0</v>
      </c>
      <c r="I82" s="11" t="n">
        <f aca="false">(I81-H81)*capcost/1000000</f>
        <v>0</v>
      </c>
      <c r="J82" s="11" t="n">
        <f aca="false">(J81-I81)*capcost/1000000</f>
        <v>0</v>
      </c>
      <c r="K82" s="11" t="n">
        <f aca="false">(K81-J81)*capcost/1000000</f>
        <v>0</v>
      </c>
      <c r="L82" s="11" t="n">
        <f aca="false">(L81-K81)*capcost/1000000</f>
        <v>0</v>
      </c>
      <c r="M82" s="11" t="n">
        <f aca="false">(M81-L81)*capcost/1000000</f>
        <v>21.024331217449</v>
      </c>
    </row>
    <row r="85" customFormat="false" ht="17.15" hidden="false" customHeight="false" outlineLevel="0" collapsed="false">
      <c r="A85" s="9" t="s">
        <v>579</v>
      </c>
    </row>
    <row r="86" customFormat="false" ht="17.15" hidden="false" customHeight="false" outlineLevel="0" collapsed="false">
      <c r="A86" s="4" t="s">
        <v>14</v>
      </c>
      <c r="B86" s="4" t="s">
        <v>15</v>
      </c>
      <c r="C86" s="4" t="s">
        <v>580</v>
      </c>
      <c r="D86" s="4" t="s">
        <v>581</v>
      </c>
      <c r="E86" s="4" t="s">
        <v>582</v>
      </c>
      <c r="F86" s="4" t="s">
        <v>19</v>
      </c>
    </row>
    <row r="87" customFormat="false" ht="17.15" hidden="false" customHeight="false" outlineLevel="0" collapsed="false">
      <c r="A87" s="0" t="s">
        <v>583</v>
      </c>
      <c r="B87" s="0" t="s">
        <v>47</v>
      </c>
      <c r="C87" s="10" t="n">
        <f aca="false">g27_A</f>
        <v>0.32</v>
      </c>
      <c r="D87" s="10" t="n">
        <f aca="false">g27_B</f>
        <v>0.25</v>
      </c>
      <c r="E87" s="10" t="n">
        <f aca="false">g27_C</f>
        <v>-0.1</v>
      </c>
      <c r="F87" s="7" t="s">
        <v>48</v>
      </c>
    </row>
    <row r="88" customFormat="false" ht="17.15" hidden="false" customHeight="false" outlineLevel="0" collapsed="false">
      <c r="A88" s="0" t="s">
        <v>584</v>
      </c>
      <c r="B88" s="0" t="s">
        <v>47</v>
      </c>
      <c r="C88" s="10" t="n">
        <f aca="false">g28_A</f>
        <v>0.28</v>
      </c>
      <c r="D88" s="10" t="n">
        <f aca="false">g28_B</f>
        <v>0.2</v>
      </c>
      <c r="E88" s="10" t="n">
        <f aca="false">g28_C</f>
        <v>0.05</v>
      </c>
      <c r="F88" s="7" t="s">
        <v>48</v>
      </c>
    </row>
    <row r="89" customFormat="false" ht="17.15" hidden="false" customHeight="false" outlineLevel="0" collapsed="false">
      <c r="A89" s="0" t="s">
        <v>585</v>
      </c>
      <c r="B89" s="0" t="s">
        <v>47</v>
      </c>
      <c r="C89" s="10" t="n">
        <f aca="false">g30_A</f>
        <v>0.2</v>
      </c>
      <c r="D89" s="10" t="n">
        <f aca="false">g30_B</f>
        <v>0.13</v>
      </c>
      <c r="E89" s="10" t="n">
        <f aca="false">g30_C</f>
        <v>0.1</v>
      </c>
      <c r="F89" s="7" t="s">
        <v>48</v>
      </c>
    </row>
    <row r="90" customFormat="false" ht="17.15" hidden="false" customHeight="false" outlineLevel="0" collapsed="false">
      <c r="A90" s="0" t="s">
        <v>586</v>
      </c>
      <c r="B90" s="0" t="s">
        <v>47</v>
      </c>
      <c r="C90" s="10" t="n">
        <f aca="false">g35_A</f>
        <v>0.08</v>
      </c>
      <c r="D90" s="10" t="n">
        <f aca="false">g35_B</f>
        <v>0.05</v>
      </c>
      <c r="E90" s="10" t="n">
        <f aca="false">g35_C</f>
        <v>0.04</v>
      </c>
      <c r="F90" s="7" t="s">
        <v>48</v>
      </c>
    </row>
    <row r="91" customFormat="false" ht="17.15" hidden="false" customHeight="false" outlineLevel="0" collapsed="false">
      <c r="A91" s="0" t="s">
        <v>587</v>
      </c>
      <c r="B91" s="0" t="s">
        <v>25</v>
      </c>
      <c r="C91" s="11" t="n">
        <f aca="false">gpr27_A</f>
        <v>3600</v>
      </c>
      <c r="D91" s="11" t="n">
        <f aca="false">gpr27_B</f>
        <v>3450</v>
      </c>
      <c r="E91" s="11" t="n">
        <f aca="false">gpr27_C</f>
        <v>2700</v>
      </c>
      <c r="F91" s="7" t="s">
        <v>48</v>
      </c>
    </row>
    <row r="92" customFormat="false" ht="17.15" hidden="false" customHeight="false" outlineLevel="0" collapsed="false">
      <c r="A92" s="0" t="s">
        <v>588</v>
      </c>
      <c r="B92" s="0" t="s">
        <v>25</v>
      </c>
      <c r="C92" s="11" t="n">
        <f aca="false">gprLT_A</f>
        <v>3700</v>
      </c>
      <c r="D92" s="11" t="n">
        <f aca="false">gprLT_B</f>
        <v>3350</v>
      </c>
      <c r="E92" s="11" t="n">
        <f aca="false">gprLT_C</f>
        <v>3100</v>
      </c>
      <c r="F92" s="7" t="s">
        <v>48</v>
      </c>
    </row>
    <row r="93" customFormat="false" ht="17.15" hidden="false" customHeight="false" outlineLevel="0" collapsed="false">
      <c r="A93" s="0" t="s">
        <v>589</v>
      </c>
      <c r="B93" s="0" t="s">
        <v>25</v>
      </c>
      <c r="C93" s="11" t="n">
        <f aca="false">gpw_h2</f>
        <v>708</v>
      </c>
      <c r="D93" s="11" t="n">
        <f aca="false">gpw_h2</f>
        <v>708</v>
      </c>
      <c r="E93" s="11" t="n">
        <f aca="false">gpw27_C</f>
        <v>650</v>
      </c>
      <c r="F93" s="7" t="s">
        <v>48</v>
      </c>
    </row>
    <row r="94" customFormat="false" ht="17.15" hidden="false" customHeight="false" outlineLevel="0" collapsed="false">
      <c r="A94" s="0" t="s">
        <v>590</v>
      </c>
      <c r="B94" s="0" t="s">
        <v>47</v>
      </c>
      <c r="C94" s="12" t="n">
        <f aca="false">gos27_A</f>
        <v>0.08</v>
      </c>
      <c r="D94" s="12" t="n">
        <f aca="false">gos27_B</f>
        <v>0.072</v>
      </c>
      <c r="E94" s="12" t="n">
        <f aca="false">gos27_C</f>
        <v>0.034</v>
      </c>
      <c r="F94" s="7" t="s">
        <v>591</v>
      </c>
    </row>
    <row r="95" customFormat="false" ht="17.15" hidden="false" customHeight="false" outlineLevel="0" collapsed="false">
      <c r="A95" s="0" t="s">
        <v>592</v>
      </c>
      <c r="B95" s="0" t="s">
        <v>47</v>
      </c>
      <c r="C95" s="12" t="n">
        <f aca="false">gosLT_A</f>
        <v>0.08</v>
      </c>
      <c r="D95" s="12" t="n">
        <f aca="false">gosLT_B</f>
        <v>0.07</v>
      </c>
      <c r="E95" s="12" t="n">
        <f aca="false">gosLT_C</f>
        <v>0.06</v>
      </c>
      <c r="F95" s="7" t="s">
        <v>48</v>
      </c>
    </row>
    <row r="96" customFormat="false" ht="17.15" hidden="false" customHeight="false" outlineLevel="0" collapsed="false">
      <c r="A96" s="2" t="s">
        <v>593</v>
      </c>
      <c r="B96" s="0" t="s">
        <v>47</v>
      </c>
      <c r="C96" s="10" t="n">
        <f aca="false">eff_A</f>
        <v>0.03</v>
      </c>
      <c r="D96" s="10" t="n">
        <f aca="false">eff_B</f>
        <v>0.015</v>
      </c>
      <c r="E96" s="10" t="n">
        <f aca="false">eff_C</f>
        <v>0</v>
      </c>
      <c r="F96" s="7" t="s">
        <v>48</v>
      </c>
    </row>
    <row r="97" customFormat="false" ht="17.15" hidden="false" customHeight="false" outlineLevel="0" collapsed="false">
      <c r="A97" s="0" t="s">
        <v>594</v>
      </c>
      <c r="B97" s="2" t="s">
        <v>206</v>
      </c>
      <c r="C97" s="13" t="n">
        <f aca="false">inv_d</f>
        <v>60</v>
      </c>
      <c r="D97" s="13" t="n">
        <f aca="false">inv_d</f>
        <v>60</v>
      </c>
      <c r="E97" s="13" t="n">
        <f aca="false">inv_d_C</f>
        <v>70</v>
      </c>
      <c r="F97" s="7" t="s">
        <v>48</v>
      </c>
    </row>
    <row r="98" customFormat="false" ht="15" hidden="false" customHeight="false" outlineLevel="0" collapsed="false">
      <c r="A98" s="9" t="s">
        <v>595</v>
      </c>
    </row>
    <row r="99" customFormat="false" ht="17.15" hidden="false" customHeight="false" outlineLevel="0" collapsed="false">
      <c r="A99" s="0" t="s">
        <v>596</v>
      </c>
      <c r="B99" s="2" t="s">
        <v>37</v>
      </c>
      <c r="C99" s="11" t="n">
        <f aca="false">E7</f>
        <v>1087463.124</v>
      </c>
      <c r="D99" s="11" t="n">
        <f aca="false">E34</f>
        <v>1029794.625</v>
      </c>
      <c r="E99" s="11" t="n">
        <f aca="false">E61</f>
        <v>741452.13</v>
      </c>
      <c r="F99" s="7" t="s">
        <v>38</v>
      </c>
    </row>
    <row r="100" customFormat="false" ht="17.15" hidden="false" customHeight="false" outlineLevel="0" collapsed="false">
      <c r="A100" s="0" t="s">
        <v>597</v>
      </c>
      <c r="B100" s="2" t="s">
        <v>37</v>
      </c>
      <c r="C100" s="11" t="n">
        <f aca="false">H7</f>
        <v>2071225.76449536</v>
      </c>
      <c r="D100" s="11" t="n">
        <f aca="false">H34</f>
        <v>1626807.7608975</v>
      </c>
      <c r="E100" s="11" t="n">
        <f aca="false">H61</f>
        <v>920605.50091125</v>
      </c>
      <c r="F100" s="7" t="s">
        <v>38</v>
      </c>
    </row>
    <row r="101" customFormat="false" ht="17.15" hidden="false" customHeight="false" outlineLevel="0" collapsed="false">
      <c r="A101" s="0" t="s">
        <v>598</v>
      </c>
      <c r="B101" s="2" t="s">
        <v>37</v>
      </c>
      <c r="C101" s="11" t="n">
        <f aca="false">M7</f>
        <v>3000000</v>
      </c>
      <c r="D101" s="11" t="n">
        <f aca="false">M34</f>
        <v>2409891.72864969</v>
      </c>
      <c r="E101" s="11" t="n">
        <f aca="false">M61</f>
        <v>1254600.45117761</v>
      </c>
      <c r="F101" s="7" t="s">
        <v>38</v>
      </c>
    </row>
    <row r="102" customFormat="false" ht="17.15" hidden="false" customHeight="false" outlineLevel="0" collapsed="false">
      <c r="A102" s="0" t="s">
        <v>599</v>
      </c>
      <c r="B102" s="0" t="s">
        <v>25</v>
      </c>
      <c r="C102" s="11" t="n">
        <f aca="false">E23</f>
        <v>7182.63559056739</v>
      </c>
      <c r="D102" s="11" t="n">
        <f aca="false">E50</f>
        <v>6839.76128031354</v>
      </c>
      <c r="E102" s="11" t="n">
        <f aca="false">E77</f>
        <v>5115.60830660774</v>
      </c>
      <c r="F102" s="7" t="s">
        <v>38</v>
      </c>
    </row>
    <row r="103" customFormat="false" ht="17.15" hidden="false" customHeight="false" outlineLevel="0" collapsed="false">
      <c r="A103" s="0" t="s">
        <v>600</v>
      </c>
      <c r="B103" s="0" t="s">
        <v>166</v>
      </c>
      <c r="C103" s="11" t="n">
        <f aca="false">E17</f>
        <v>2097.43699968</v>
      </c>
      <c r="D103" s="11" t="n">
        <f aca="false">E44</f>
        <v>1787.588352</v>
      </c>
      <c r="E103" s="11" t="n">
        <f aca="false">E71</f>
        <v>607.78003968</v>
      </c>
      <c r="F103" s="7" t="s">
        <v>38</v>
      </c>
    </row>
    <row r="104" customFormat="false" ht="17.15" hidden="false" customHeight="false" outlineLevel="0" collapsed="false">
      <c r="A104" s="0" t="s">
        <v>601</v>
      </c>
      <c r="B104" s="0" t="s">
        <v>25</v>
      </c>
      <c r="C104" s="11" t="n">
        <f aca="false">E25</f>
        <v>3360.06781668488</v>
      </c>
      <c r="D104" s="11" t="n">
        <f aca="false">E52</f>
        <v>3438.13561441923</v>
      </c>
      <c r="E104" s="11" t="n">
        <f aca="false">E79</f>
        <v>3744.63279780449</v>
      </c>
      <c r="F104" s="7" t="s">
        <v>38</v>
      </c>
    </row>
    <row r="105" customFormat="false" ht="17.15" hidden="false" customHeight="false" outlineLevel="0" collapsed="false">
      <c r="A105" s="0" t="s">
        <v>602</v>
      </c>
      <c r="B105" s="0" t="s">
        <v>166</v>
      </c>
      <c r="C105" s="11" t="n">
        <f aca="false">PL!E33</f>
        <v>4515.971493088</v>
      </c>
      <c r="D105" s="11" t="n">
        <f aca="false">PL!E62</f>
        <v>3862.045827</v>
      </c>
      <c r="E105" s="11" t="n">
        <f aca="false">PL!E91</f>
        <v>1375.58271118</v>
      </c>
      <c r="F105" s="7" t="s">
        <v>38</v>
      </c>
    </row>
    <row r="106" customFormat="false" ht="17.15" hidden="false" customHeight="false" outlineLevel="0" collapsed="false">
      <c r="A106" s="0" t="s">
        <v>603</v>
      </c>
      <c r="B106" s="0" t="s">
        <v>166</v>
      </c>
      <c r="C106" s="11" t="n">
        <f aca="false">PL!H33</f>
        <v>9860.74063851241</v>
      </c>
      <c r="D106" s="11" t="n">
        <f aca="false">PL!H62</f>
        <v>6411.57541419161</v>
      </c>
      <c r="E106" s="11" t="n">
        <f aca="false">PL!H91</f>
        <v>2840.95078726971</v>
      </c>
      <c r="F106" s="7" t="s">
        <v>38</v>
      </c>
    </row>
    <row r="107" customFormat="false" ht="17.15" hidden="false" customHeight="false" outlineLevel="0" collapsed="false">
      <c r="A107" s="0" t="s">
        <v>604</v>
      </c>
      <c r="B107" s="0" t="s">
        <v>47</v>
      </c>
      <c r="C107" s="10" t="n">
        <f aca="false">PL!H34</f>
        <v>0.120309963664647</v>
      </c>
      <c r="D107" s="10" t="n">
        <f aca="false">PL!H63</f>
        <v>0.100245545004865</v>
      </c>
      <c r="E107" s="10" t="n">
        <f aca="false">PL!H92</f>
        <v>0.0790063797627099</v>
      </c>
      <c r="F107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605</v>
      </c>
    </row>
    <row r="2" customFormat="false" ht="17.15" hidden="false" customHeight="false" outlineLevel="0" collapsed="false">
      <c r="A2" s="0" t="s">
        <v>606</v>
      </c>
    </row>
    <row r="3" customFormat="false" ht="15" hidden="false" customHeight="false" outlineLevel="0" collapsed="false">
      <c r="A3" s="4" t="s">
        <v>14</v>
      </c>
      <c r="B3" s="4" t="s">
        <v>15</v>
      </c>
      <c r="C3" s="8" t="s">
        <v>554</v>
      </c>
      <c r="D3" s="8" t="s">
        <v>555</v>
      </c>
      <c r="E3" s="8" t="s">
        <v>556</v>
      </c>
      <c r="F3" s="8" t="s">
        <v>557</v>
      </c>
      <c r="G3" s="8" t="s">
        <v>558</v>
      </c>
      <c r="H3" s="8" t="s">
        <v>559</v>
      </c>
      <c r="I3" s="8" t="s">
        <v>560</v>
      </c>
      <c r="J3" s="8" t="s">
        <v>561</v>
      </c>
      <c r="K3" s="8" t="s">
        <v>562</v>
      </c>
      <c r="L3" s="8" t="s">
        <v>563</v>
      </c>
      <c r="M3" s="8" t="s">
        <v>564</v>
      </c>
    </row>
    <row r="4" customFormat="false" ht="17.15" hidden="false" customHeight="false" outlineLevel="0" collapsed="false">
      <c r="A4" s="9" t="s">
        <v>607</v>
      </c>
    </row>
    <row r="5" customFormat="false" ht="15" hidden="false" customHeight="false" outlineLevel="0" collapsed="false">
      <c r="A5" s="2" t="s">
        <v>526</v>
      </c>
      <c r="C5" s="0" t="n">
        <f aca="false">ABS(C9+C10+C11-C14)+ABS(C38+C39+C40-C43)+ABS(C67+C68+C69-C72)</f>
        <v>0</v>
      </c>
      <c r="D5" s="0" t="n">
        <f aca="false">ABS(D9+D10+D11-D14)+ABS(D38+D39+D40-D43)+ABS(D67+D68+D69-D72)</f>
        <v>0</v>
      </c>
      <c r="E5" s="0" t="n">
        <f aca="false">ABS(E9+E10+E11-E14)+ABS(E38+E39+E40-E43)+ABS(E67+E68+E69-E72)</f>
        <v>0</v>
      </c>
      <c r="F5" s="0" t="n">
        <f aca="false">ABS(F9+F10+F11-F14)+ABS(F38+F39+F40-F43)+ABS(F67+F68+F69-F72)</f>
        <v>0</v>
      </c>
      <c r="G5" s="0" t="n">
        <f aca="false">ABS(G9+G10+G11-G14)+ABS(G38+G39+G40-G43)+ABS(G67+G68+G69-G72)</f>
        <v>0</v>
      </c>
      <c r="H5" s="0" t="n">
        <f aca="false">ABS(H9+H10+H11-H14)+ABS(H38+H39+H40-H43)+ABS(H67+H68+H69-H72)</f>
        <v>0</v>
      </c>
      <c r="I5" s="0" t="n">
        <f aca="false">ABS(I9+I10+I11-I14)+ABS(I38+I39+I40-I43)+ABS(I67+I68+I69-I72)</f>
        <v>0</v>
      </c>
      <c r="J5" s="0" t="n">
        <f aca="false">ABS(J9+J10+J11-J14)+ABS(J38+J39+J40-J43)+ABS(J67+J68+J69-J72)</f>
        <v>0</v>
      </c>
      <c r="K5" s="0" t="n">
        <f aca="false">ABS(K9+K10+K11-K14)+ABS(K38+K39+K40-K43)+ABS(K67+K68+K69-K72)</f>
        <v>0</v>
      </c>
      <c r="L5" s="0" t="n">
        <f aca="false">ABS(L9+L10+L11-L14)+ABS(L38+L39+L40-L43)+ABS(L67+L68+L69-L72)</f>
        <v>0</v>
      </c>
      <c r="M5" s="0" t="n">
        <f aca="false">ABS(M9+M10+M11-M14)+ABS(M38+M39+M40-M43)+ABS(M67+M68+M69-M72)</f>
        <v>0</v>
      </c>
    </row>
    <row r="6" customFormat="false" ht="15" hidden="false" customHeight="false" outlineLevel="0" collapsed="false">
      <c r="A6" s="2" t="s">
        <v>608</v>
      </c>
      <c r="C6" s="0" t="n">
        <f aca="false">ABS(C12+C13-C11)+ABS(C41+C42-C40)+ABS(C70+C71-C69)</f>
        <v>0</v>
      </c>
      <c r="D6" s="0" t="n">
        <f aca="false">ABS(D12+D13-D11)+ABS(D41+D42-D40)+ABS(D70+D71-D69)</f>
        <v>0</v>
      </c>
      <c r="E6" s="0" t="n">
        <f aca="false">ABS(E12+E13-E11)+ABS(E41+E42-E40)+ABS(E70+E71-E69)</f>
        <v>0</v>
      </c>
      <c r="F6" s="0" t="n">
        <f aca="false">ABS(F12+F13-F11)+ABS(F41+F42-F40)+ABS(F70+F71-F69)</f>
        <v>0</v>
      </c>
      <c r="G6" s="0" t="n">
        <f aca="false">ABS(G12+G13-G11)+ABS(G41+G42-G40)+ABS(G70+G71-G69)</f>
        <v>0</v>
      </c>
      <c r="H6" s="0" t="n">
        <f aca="false">ABS(H12+H13-H11)+ABS(H41+H42-H40)+ABS(H70+H71-H69)</f>
        <v>0</v>
      </c>
      <c r="I6" s="0" t="n">
        <f aca="false">ABS(I12+I13-I11)+ABS(I41+I42-I40)+ABS(I70+I71-I69)</f>
        <v>0</v>
      </c>
      <c r="J6" s="0" t="n">
        <f aca="false">ABS(J12+J13-J11)+ABS(J41+J42-J40)+ABS(J70+J71-J69)</f>
        <v>0</v>
      </c>
      <c r="K6" s="0" t="n">
        <f aca="false">ABS(K12+K13-K11)+ABS(K41+K42-K40)+ABS(K70+K71-K69)</f>
        <v>0</v>
      </c>
      <c r="L6" s="0" t="n">
        <f aca="false">ABS(L12+L13-L11)+ABS(L41+L42-L40)+ABS(L70+L71-L69)</f>
        <v>0</v>
      </c>
      <c r="M6" s="0" t="n">
        <f aca="false">ABS(M12+M13-M11)+ABS(M41+M42-M40)+ABS(M70+M71-M69)</f>
        <v>0</v>
      </c>
    </row>
    <row r="8" customFormat="false" ht="17.15" hidden="false" customHeight="false" outlineLevel="0" collapsed="false">
      <c r="A8" s="9" t="s">
        <v>553</v>
      </c>
    </row>
    <row r="9" customFormat="false" ht="15" hidden="false" customHeight="false" outlineLevel="0" collapsed="false">
      <c r="A9" s="2" t="s">
        <v>496</v>
      </c>
      <c r="B9" s="0" t="s">
        <v>166</v>
      </c>
      <c r="C9" s="11" t="n">
        <f aca="false">Thesis!C9</f>
        <v>14537</v>
      </c>
      <c r="D9" s="11" t="n">
        <f aca="false">Thesis!D9</f>
        <v>22745.8313001</v>
      </c>
      <c r="E9" s="11" t="n">
        <f aca="false">Thesis!E9</f>
        <v>30624.9872624546</v>
      </c>
      <c r="F9" s="11" t="n">
        <f aca="false">Thesis!F9</f>
        <v>39983.9833698608</v>
      </c>
      <c r="G9" s="11" t="n">
        <f aca="false">Thesis!G9</f>
        <v>50571.7421661999</v>
      </c>
      <c r="H9" s="11" t="n">
        <f aca="false">Thesis!H9</f>
        <v>61899.8124114287</v>
      </c>
      <c r="I9" s="11" t="n">
        <f aca="false">Thesis!I9</f>
        <v>74250.0629837569</v>
      </c>
      <c r="J9" s="11" t="n">
        <f aca="false">Thesis!J9</f>
        <v>87246.7940084338</v>
      </c>
      <c r="K9" s="11" t="n">
        <f aca="false">Thesis!K9</f>
        <v>95144.4945145977</v>
      </c>
      <c r="L9" s="11" t="n">
        <f aca="false">Thesis!L9</f>
        <v>97047.3844048897</v>
      </c>
      <c r="M9" s="11" t="n">
        <f aca="false">Thesis!M9</f>
        <v>98988.3320929875</v>
      </c>
    </row>
    <row r="10" customFormat="false" ht="15" hidden="false" customHeight="false" outlineLevel="0" collapsed="false">
      <c r="A10" s="2" t="s">
        <v>497</v>
      </c>
      <c r="B10" s="0" t="s">
        <v>166</v>
      </c>
      <c r="C10" s="11" t="n">
        <f aca="false">Thesis!C11</f>
        <v>4052</v>
      </c>
      <c r="D10" s="11" t="n">
        <f aca="false">Thesis!D11</f>
        <v>5094.04588766374</v>
      </c>
      <c r="E10" s="11" t="n">
        <f aca="false">Thesis!E11</f>
        <v>6858.62338315046</v>
      </c>
      <c r="F10" s="11" t="n">
        <f aca="false">Thesis!F11</f>
        <v>8954.61868904124</v>
      </c>
      <c r="G10" s="11" t="n">
        <f aca="false">Thesis!G11</f>
        <v>11325.8017178994</v>
      </c>
      <c r="H10" s="11" t="n">
        <f aca="false">Thesis!H11</f>
        <v>13862.7813027088</v>
      </c>
      <c r="I10" s="11" t="n">
        <f aca="false">Thesis!I11</f>
        <v>16628.6834282253</v>
      </c>
      <c r="J10" s="11" t="n">
        <f aca="false">Thesis!J11</f>
        <v>19539.3681755018</v>
      </c>
      <c r="K10" s="11" t="n">
        <f aca="false">Thesis!K11</f>
        <v>21308.098816938</v>
      </c>
      <c r="L10" s="11" t="n">
        <f aca="false">Thesis!L11</f>
        <v>21734.2607932768</v>
      </c>
      <c r="M10" s="11" t="n">
        <f aca="false">Thesis!M11</f>
        <v>22168.9460091423</v>
      </c>
    </row>
    <row r="11" customFormat="false" ht="15" hidden="false" customHeight="false" outlineLevel="0" collapsed="false">
      <c r="A11" s="2" t="s">
        <v>498</v>
      </c>
      <c r="B11" s="0" t="s">
        <v>166</v>
      </c>
      <c r="C11" s="11" t="n">
        <f aca="false">Q!M8</f>
        <v>1733</v>
      </c>
      <c r="D11" s="11" t="n">
        <f aca="false">Thesis!D22</f>
        <v>2251.88</v>
      </c>
      <c r="E11" s="11" t="n">
        <f aca="false">Thesis!E22</f>
        <v>3126.06019968</v>
      </c>
      <c r="F11" s="11" t="n">
        <f aca="false">Thesis!F22</f>
        <v>4055.05144278221</v>
      </c>
      <c r="G11" s="11" t="n">
        <f aca="false">Thesis!G22</f>
        <v>5096.17644997014</v>
      </c>
      <c r="H11" s="11" t="n">
        <f aca="false">Thesis!H22</f>
        <v>6198.53683693049</v>
      </c>
      <c r="I11" s="11" t="n">
        <f aca="false">Thesis!I22</f>
        <v>7389.1895365433</v>
      </c>
      <c r="J11" s="11" t="n">
        <f aca="false">Thesis!J22</f>
        <v>8629.50983867436</v>
      </c>
      <c r="K11" s="11" t="n">
        <f aca="false">Thesis!K22</f>
        <v>9353.91145956721</v>
      </c>
      <c r="L11" s="11" t="n">
        <f aca="false">Thesis!L22</f>
        <v>9484.23613947683</v>
      </c>
      <c r="M11" s="11" t="n">
        <f aca="false">Thesis!M22</f>
        <v>9617.16731298463</v>
      </c>
    </row>
    <row r="12" customFormat="false" ht="15" hidden="false" customHeight="false" outlineLevel="0" collapsed="false">
      <c r="A12" s="2" t="s">
        <v>609</v>
      </c>
      <c r="B12" s="0" t="s">
        <v>166</v>
      </c>
      <c r="C12" s="11" t="n">
        <f aca="false">Thesis!C17</f>
        <v>1193</v>
      </c>
      <c r="D12" s="11" t="n">
        <f aca="false">Thesis!D17</f>
        <v>1472.62</v>
      </c>
      <c r="E12" s="11" t="n">
        <f aca="false">Thesis!E17</f>
        <v>2097.43699968</v>
      </c>
      <c r="F12" s="11" t="n">
        <f aca="false">Thesis!F17</f>
        <v>2738.41374678221</v>
      </c>
      <c r="G12" s="11" t="n">
        <f aca="false">Thesis!G17</f>
        <v>3463.54570693014</v>
      </c>
      <c r="H12" s="11" t="n">
        <f aca="false">Thesis!H17</f>
        <v>4239.37994528249</v>
      </c>
      <c r="I12" s="11" t="n">
        <f aca="false">Thesis!I17</f>
        <v>5085.22103196525</v>
      </c>
      <c r="J12" s="11" t="n">
        <f aca="false">Thesis!J17</f>
        <v>5975.33812140045</v>
      </c>
      <c r="K12" s="11" t="n">
        <f aca="false">Thesis!K17</f>
        <v>6516.23399548063</v>
      </c>
      <c r="L12" s="11" t="n">
        <f aca="false">Thesis!L17</f>
        <v>6646.55867539024</v>
      </c>
      <c r="M12" s="11" t="n">
        <f aca="false">Thesis!M17</f>
        <v>6779.48984889804</v>
      </c>
    </row>
    <row r="13" customFormat="false" ht="17.15" hidden="false" customHeight="false" outlineLevel="0" collapsed="false">
      <c r="A13" s="2" t="s">
        <v>610</v>
      </c>
      <c r="B13" s="0" t="s">
        <v>166</v>
      </c>
      <c r="C13" s="11" t="n">
        <f aca="false">C11-C12</f>
        <v>540</v>
      </c>
      <c r="D13" s="11" t="n">
        <f aca="false">D11-D12</f>
        <v>779.26</v>
      </c>
      <c r="E13" s="11" t="n">
        <f aca="false">E11-E12</f>
        <v>1028.6232</v>
      </c>
      <c r="F13" s="11" t="n">
        <f aca="false">F11-F12</f>
        <v>1316.637696</v>
      </c>
      <c r="G13" s="11" t="n">
        <f aca="false">G11-G12</f>
        <v>1632.63074304</v>
      </c>
      <c r="H13" s="11" t="n">
        <f aca="false">H11-H12</f>
        <v>1959.156891648</v>
      </c>
      <c r="I13" s="11" t="n">
        <f aca="false">I11-I12</f>
        <v>2303.96850457805</v>
      </c>
      <c r="J13" s="11" t="n">
        <f aca="false">J11-J12</f>
        <v>2654.17171727391</v>
      </c>
      <c r="K13" s="11" t="n">
        <f aca="false">K11-K12</f>
        <v>2837.67746408659</v>
      </c>
      <c r="L13" s="11" t="n">
        <f aca="false">L11-L12</f>
        <v>2837.67746408659</v>
      </c>
      <c r="M13" s="11" t="n">
        <f aca="false">M11-M12</f>
        <v>2837.67746408659</v>
      </c>
    </row>
    <row r="14" customFormat="false" ht="15" hidden="false" customHeight="false" outlineLevel="0" collapsed="false">
      <c r="A14" s="2" t="s">
        <v>499</v>
      </c>
      <c r="B14" s="0" t="s">
        <v>166</v>
      </c>
      <c r="C14" s="11" t="n">
        <f aca="false">Q!M9</f>
        <v>20322</v>
      </c>
      <c r="D14" s="11" t="n">
        <f aca="false">D9+D10+D11</f>
        <v>30091.7571877637</v>
      </c>
      <c r="E14" s="11" t="n">
        <f aca="false">E9+E10+E11</f>
        <v>40609.6708452851</v>
      </c>
      <c r="F14" s="11" t="n">
        <f aca="false">F9+F10+F11</f>
        <v>52993.6535016842</v>
      </c>
      <c r="G14" s="11" t="n">
        <f aca="false">G9+G10+G11</f>
        <v>66993.7203340694</v>
      </c>
      <c r="H14" s="11" t="n">
        <f aca="false">H9+H10+H11</f>
        <v>81961.130551068</v>
      </c>
      <c r="I14" s="11" t="n">
        <f aca="false">I9+I10+I11</f>
        <v>98267.9359485255</v>
      </c>
      <c r="J14" s="11" t="n">
        <f aca="false">J9+J10+J11</f>
        <v>115415.67202261</v>
      </c>
      <c r="K14" s="11" t="n">
        <f aca="false">K9+K10+K11</f>
        <v>125806.504791103</v>
      </c>
      <c r="L14" s="11" t="n">
        <f aca="false">L9+L10+L11</f>
        <v>128265.881337643</v>
      </c>
      <c r="M14" s="11" t="n">
        <f aca="false">M9+M10+M11</f>
        <v>130774.445415114</v>
      </c>
    </row>
    <row r="15" customFormat="false" ht="15" hidden="false" customHeight="false" outlineLevel="0" collapsed="false">
      <c r="A15" s="2" t="s">
        <v>611</v>
      </c>
      <c r="B15" s="0" t="s">
        <v>47</v>
      </c>
      <c r="D15" s="10" t="n">
        <f aca="false">D14/C14-1</f>
        <v>0.480747819494328</v>
      </c>
      <c r="E15" s="10" t="n">
        <f aca="false">E14/D14-1</f>
        <v>0.349528064841567</v>
      </c>
      <c r="F15" s="10" t="n">
        <f aca="false">F14/E14-1</f>
        <v>0.304951564458123</v>
      </c>
      <c r="G15" s="10" t="n">
        <f aca="false">G14/F14-1</f>
        <v>0.264183839144818</v>
      </c>
      <c r="H15" s="10" t="n">
        <f aca="false">H14/G14-1</f>
        <v>0.223415122228806</v>
      </c>
      <c r="I15" s="10" t="n">
        <f aca="false">I14/H14-1</f>
        <v>0.198957789964807</v>
      </c>
      <c r="J15" s="10" t="n">
        <f aca="false">J14/I14-1</f>
        <v>0.174499809205993</v>
      </c>
      <c r="K15" s="10" t="n">
        <f aca="false">K14/J14-1</f>
        <v>0.0900296518349553</v>
      </c>
      <c r="L15" s="10" t="n">
        <f aca="false">L14/K14-1</f>
        <v>0.019548882234858</v>
      </c>
      <c r="M15" s="10" t="n">
        <f aca="false">M14/L14-1</f>
        <v>0.01955753198988</v>
      </c>
    </row>
    <row r="16" customFormat="false" ht="15" hidden="false" customHeight="false" outlineLevel="0" collapsed="false">
      <c r="A16" s="2" t="s">
        <v>500</v>
      </c>
      <c r="B16" s="0" t="s">
        <v>166</v>
      </c>
      <c r="C16" s="11" t="n">
        <f aca="false">Thesis!C20</f>
        <v>1978</v>
      </c>
      <c r="D16" s="11" t="n">
        <f aca="false">Thesis!D20</f>
        <v>2721.4418612</v>
      </c>
      <c r="E16" s="11" t="n">
        <f aca="false">Thesis!E20</f>
        <v>3914.8672464</v>
      </c>
      <c r="F16" s="11" t="n">
        <f aca="false">Thesis!F20</f>
        <v>5057.428502016</v>
      </c>
      <c r="G16" s="11" t="n">
        <f aca="false">Thesis!G20</f>
        <v>6328.7453915136</v>
      </c>
      <c r="H16" s="11" t="n">
        <f aca="false">Thesis!H20</f>
        <v>7663.53532863283</v>
      </c>
      <c r="I16" s="11" t="n">
        <f aca="false">Thesis!I20</f>
        <v>9012.31754647221</v>
      </c>
      <c r="J16" s="11" t="n">
        <f aca="false">Thesis!J20</f>
        <v>10382.189813536</v>
      </c>
      <c r="K16" s="11" t="n">
        <f aca="false">Thesis!K20</f>
        <v>11100</v>
      </c>
      <c r="L16" s="11" t="n">
        <f aca="false">Thesis!L20</f>
        <v>11100</v>
      </c>
      <c r="M16" s="11" t="n">
        <f aca="false">Thesis!M20</f>
        <v>11100</v>
      </c>
    </row>
    <row r="17" customFormat="false" ht="15" hidden="false" customHeight="false" outlineLevel="0" collapsed="false">
      <c r="A17" s="2" t="s">
        <v>501</v>
      </c>
      <c r="B17" s="0" t="s">
        <v>166</v>
      </c>
      <c r="C17" s="11" t="n">
        <f aca="false">Thesis!C21</f>
        <v>481</v>
      </c>
      <c r="D17" s="11" t="n">
        <f aca="false">Thesis!D21</f>
        <v>620.9867516</v>
      </c>
      <c r="E17" s="11" t="n">
        <f aca="false">Thesis!E21</f>
        <v>769.923891792</v>
      </c>
      <c r="F17" s="11" t="n">
        <f aca="false">Thesis!F21</f>
        <v>985.50258149376</v>
      </c>
      <c r="G17" s="11" t="n">
        <f aca="false">Thesis!G21</f>
        <v>1222.02320105226</v>
      </c>
      <c r="H17" s="11" t="n">
        <f aca="false">Thesis!H21</f>
        <v>1466.42784126271</v>
      </c>
      <c r="I17" s="11" t="n">
        <f aca="false">Thesis!I21</f>
        <v>1724.51914132495</v>
      </c>
      <c r="J17" s="11" t="n">
        <f aca="false">Thesis!J21</f>
        <v>1986.64605080635</v>
      </c>
      <c r="K17" s="11" t="n">
        <f aca="false">Thesis!K21</f>
        <v>2124</v>
      </c>
      <c r="L17" s="11" t="n">
        <f aca="false">Thesis!L21</f>
        <v>2124</v>
      </c>
      <c r="M17" s="11" t="n">
        <f aca="false">Thesis!M21</f>
        <v>2124</v>
      </c>
    </row>
    <row r="18" customFormat="false" ht="15" hidden="false" customHeight="false" outlineLevel="0" collapsed="false">
      <c r="A18" s="2" t="s">
        <v>612</v>
      </c>
      <c r="B18" s="0" t="s">
        <v>166</v>
      </c>
      <c r="C18" s="11" t="n">
        <f aca="false">C11</f>
        <v>1733</v>
      </c>
      <c r="D18" s="11" t="n">
        <f aca="false">D11</f>
        <v>2251.88</v>
      </c>
      <c r="E18" s="11" t="n">
        <f aca="false">E11</f>
        <v>3126.06019968</v>
      </c>
      <c r="F18" s="11" t="n">
        <f aca="false">F11</f>
        <v>4055.05144278221</v>
      </c>
      <c r="G18" s="11" t="n">
        <f aca="false">G11</f>
        <v>5096.17644997014</v>
      </c>
      <c r="H18" s="11" t="n">
        <f aca="false">H11</f>
        <v>6198.53683693049</v>
      </c>
      <c r="I18" s="11" t="n">
        <f aca="false">I11</f>
        <v>7389.1895365433</v>
      </c>
      <c r="J18" s="11" t="n">
        <f aca="false">J11</f>
        <v>8629.50983867436</v>
      </c>
      <c r="K18" s="11" t="n">
        <f aca="false">K11</f>
        <v>9353.91145956721</v>
      </c>
      <c r="L18" s="11" t="n">
        <f aca="false">L11</f>
        <v>9484.23613947683</v>
      </c>
      <c r="M18" s="11" t="n">
        <f aca="false">M11</f>
        <v>9617.16731298463</v>
      </c>
    </row>
    <row r="19" customFormat="false" ht="15" hidden="false" customHeight="false" outlineLevel="0" collapsed="false">
      <c r="A19" s="2" t="s">
        <v>525</v>
      </c>
      <c r="B19" s="0" t="s">
        <v>166</v>
      </c>
      <c r="C19" s="11" t="n">
        <f aca="false">C16+C17+C18</f>
        <v>4192</v>
      </c>
      <c r="D19" s="11" t="n">
        <f aca="false">D16+D17+D18</f>
        <v>5594.3086128</v>
      </c>
      <c r="E19" s="11" t="n">
        <f aca="false">E16+E17+E18</f>
        <v>7810.851337872</v>
      </c>
      <c r="F19" s="11" t="n">
        <f aca="false">F16+F17+F18</f>
        <v>10097.982526292</v>
      </c>
      <c r="G19" s="11" t="n">
        <f aca="false">G16+G17+G18</f>
        <v>12646.945042536</v>
      </c>
      <c r="H19" s="11" t="n">
        <f aca="false">H16+H17+H18</f>
        <v>15328.500006826</v>
      </c>
      <c r="I19" s="11" t="n">
        <f aca="false">I16+I17+I18</f>
        <v>18126.0262243405</v>
      </c>
      <c r="J19" s="11" t="n">
        <f aca="false">J16+J17+J18</f>
        <v>20998.3457030167</v>
      </c>
      <c r="K19" s="11" t="n">
        <f aca="false">K16+K17+K18</f>
        <v>22577.9114595672</v>
      </c>
      <c r="L19" s="11" t="n">
        <f aca="false">L16+L17+L18</f>
        <v>22708.2361394768</v>
      </c>
      <c r="M19" s="11" t="n">
        <f aca="false">M16+M17+M18</f>
        <v>22841.1673129846</v>
      </c>
    </row>
    <row r="20" customFormat="false" ht="15" hidden="false" customHeight="false" outlineLevel="0" collapsed="false">
      <c r="A20" s="0" t="s">
        <v>502</v>
      </c>
      <c r="B20" s="0" t="s">
        <v>166</v>
      </c>
      <c r="C20" s="11" t="n">
        <f aca="false">Thesis!C24</f>
        <v>2308</v>
      </c>
      <c r="D20" s="11" t="n">
        <f aca="false">Thesis!D24</f>
        <v>2989.85156</v>
      </c>
      <c r="E20" s="11" t="n">
        <f aca="false">Thesis!E24</f>
        <v>3653.949844784</v>
      </c>
      <c r="F20" s="11" t="n">
        <f aca="false">Thesis!F24</f>
        <v>4388.53948728381</v>
      </c>
      <c r="G20" s="11" t="n">
        <f aca="false">Thesis!G24</f>
        <v>5153.87530170497</v>
      </c>
      <c r="H20" s="11" t="n">
        <f aca="false">Thesis!H24</f>
        <v>5899.54156694459</v>
      </c>
      <c r="I20" s="11" t="n">
        <f aca="false">Thesis!I24</f>
        <v>6644.98594814365</v>
      </c>
      <c r="J20" s="11" t="n">
        <f aca="false">Thesis!J24</f>
        <v>7356.44358885502</v>
      </c>
      <c r="K20" s="11" t="n">
        <f aca="false">Thesis!K24</f>
        <v>7623.3701246504</v>
      </c>
      <c r="L20" s="11" t="n">
        <f aca="false">Thesis!L24</f>
        <v>7444.84787462022</v>
      </c>
      <c r="M20" s="11" t="n">
        <f aca="false">Thesis!M24</f>
        <v>7273.18665770223</v>
      </c>
    </row>
    <row r="21" customFormat="false" ht="15" hidden="false" customHeight="false" outlineLevel="0" collapsed="false">
      <c r="A21" s="2" t="s">
        <v>503</v>
      </c>
      <c r="B21" s="0" t="s">
        <v>166</v>
      </c>
      <c r="C21" s="11" t="n">
        <f aca="false">fy25_oi</f>
        <v>1881</v>
      </c>
      <c r="D21" s="11" t="n">
        <f aca="false">D19-D20</f>
        <v>2604.4570528</v>
      </c>
      <c r="E21" s="11" t="n">
        <f aca="false">E19-E20</f>
        <v>4156.901493088</v>
      </c>
      <c r="F21" s="11" t="n">
        <f aca="false">F19-F20</f>
        <v>5709.44303900816</v>
      </c>
      <c r="G21" s="11" t="n">
        <f aca="false">G19-G20</f>
        <v>7493.06974083103</v>
      </c>
      <c r="H21" s="11" t="n">
        <f aca="false">H19-H20</f>
        <v>9428.95843988145</v>
      </c>
      <c r="I21" s="11" t="n">
        <f aca="false">I19-I20</f>
        <v>11481.0402761968</v>
      </c>
      <c r="J21" s="11" t="n">
        <f aca="false">J19-J20</f>
        <v>13641.9021141617</v>
      </c>
      <c r="K21" s="11" t="n">
        <f aca="false">K19-K20</f>
        <v>14954.5413349168</v>
      </c>
      <c r="L21" s="11" t="n">
        <f aca="false">L19-L20</f>
        <v>15263.3882648566</v>
      </c>
      <c r="M21" s="11" t="n">
        <f aca="false">M19-M20</f>
        <v>15567.9806552824</v>
      </c>
    </row>
    <row r="22" customFormat="false" ht="15" hidden="false" customHeight="false" outlineLevel="0" collapsed="false">
      <c r="A22" s="2" t="s">
        <v>613</v>
      </c>
      <c r="B22" s="0" t="s">
        <v>47</v>
      </c>
      <c r="C22" s="10" t="n">
        <f aca="false">C21/C14</f>
        <v>0.0925597874224978</v>
      </c>
      <c r="D22" s="10" t="n">
        <f aca="false">D21/D14</f>
        <v>0.0865505140344232</v>
      </c>
      <c r="E22" s="10" t="n">
        <f aca="false">E21/E14</f>
        <v>0.102362353758665</v>
      </c>
      <c r="F22" s="10" t="n">
        <f aca="false">F21/F14</f>
        <v>0.107738241501441</v>
      </c>
      <c r="G22" s="10" t="n">
        <f aca="false">G21/G14</f>
        <v>0.11184734484764</v>
      </c>
      <c r="H22" s="10" t="n">
        <f aca="false">H21/H14</f>
        <v>0.115041829907489</v>
      </c>
      <c r="I22" s="10" t="n">
        <f aca="false">I21/I14</f>
        <v>0.116834043224545</v>
      </c>
      <c r="J22" s="10" t="n">
        <f aca="false">J21/J14</f>
        <v>0.118198004439893</v>
      </c>
      <c r="K22" s="10" t="n">
        <f aca="false">K21/K14</f>
        <v>0.118869380877788</v>
      </c>
      <c r="L22" s="10" t="n">
        <f aca="false">L21/L14</f>
        <v>0.118998038337863</v>
      </c>
      <c r="M22" s="10" t="n">
        <f aca="false">M21/M14</f>
        <v>0.119044516731578</v>
      </c>
    </row>
    <row r="23" customFormat="false" ht="17.15" hidden="false" customHeight="false" outlineLevel="0" collapsed="false">
      <c r="A23" s="2" t="s">
        <v>614</v>
      </c>
      <c r="B23" s="0" t="s">
        <v>166</v>
      </c>
      <c r="C23" s="0" t="n">
        <f aca="false">fy25_int</f>
        <v>505</v>
      </c>
      <c r="D23" s="11" t="n">
        <f aca="false">CF!D47</f>
        <v>390.407875</v>
      </c>
      <c r="E23" s="11" t="n">
        <f aca="false">CF!E47</f>
        <v>366.156246099232</v>
      </c>
      <c r="F23" s="11" t="n">
        <f aca="false">CF!F47</f>
        <v>344.031667978099</v>
      </c>
      <c r="G23" s="11" t="n">
        <f aca="false">CF!G47</f>
        <v>353.528007685231</v>
      </c>
      <c r="H23" s="11" t="n">
        <f aca="false">CF!H47</f>
        <v>401.82941727747</v>
      </c>
      <c r="I23" s="11" t="n">
        <f aca="false">CF!I47</f>
        <v>454.363820915359</v>
      </c>
      <c r="J23" s="11" t="n">
        <f aca="false">CF!J47</f>
        <v>512.220666877692</v>
      </c>
      <c r="K23" s="11" t="n">
        <f aca="false">CF!K47</f>
        <v>554.933711699865</v>
      </c>
      <c r="L23" s="11" t="n">
        <f aca="false">CF!L47</f>
        <v>475.959322883368</v>
      </c>
      <c r="M23" s="11" t="n">
        <f aca="false">CF!M47</f>
        <v>484.868772669803</v>
      </c>
    </row>
    <row r="24" customFormat="false" ht="15" hidden="false" customHeight="false" outlineLevel="0" collapsed="false">
      <c r="A24" s="2" t="s">
        <v>615</v>
      </c>
      <c r="B24" s="0" t="s">
        <v>166</v>
      </c>
      <c r="C24" s="11" t="n">
        <f aca="false">Q!M21</f>
        <v>2266</v>
      </c>
      <c r="D24" s="11" t="n">
        <f aca="false">ytd_oth_exp</f>
        <v>105</v>
      </c>
      <c r="E24" s="11" t="n">
        <f aca="false">0</f>
        <v>0</v>
      </c>
      <c r="F24" s="11" t="n">
        <f aca="false">0</f>
        <v>0</v>
      </c>
      <c r="G24" s="11" t="n">
        <f aca="false">0</f>
        <v>0</v>
      </c>
      <c r="H24" s="11" t="n">
        <f aca="false">0</f>
        <v>0</v>
      </c>
      <c r="I24" s="11" t="n">
        <f aca="false">0</f>
        <v>0</v>
      </c>
      <c r="J24" s="11" t="n">
        <f aca="false">0</f>
        <v>0</v>
      </c>
      <c r="K24" s="11" t="n">
        <f aca="false">0</f>
        <v>0</v>
      </c>
      <c r="L24" s="11" t="n">
        <f aca="false">0</f>
        <v>0</v>
      </c>
      <c r="M24" s="11" t="n">
        <f aca="false">0</f>
        <v>0</v>
      </c>
    </row>
    <row r="25" customFormat="false" ht="15" hidden="false" customHeight="false" outlineLevel="0" collapsed="false">
      <c r="A25" s="2" t="s">
        <v>616</v>
      </c>
      <c r="B25" s="0" t="s">
        <v>166</v>
      </c>
      <c r="C25" s="11" t="n">
        <f aca="false">C21-C23-C24</f>
        <v>-890</v>
      </c>
      <c r="D25" s="11" t="n">
        <f aca="false">D21-D23-D24</f>
        <v>2109.0491778</v>
      </c>
      <c r="E25" s="11" t="n">
        <f aca="false">E21-E23-E24</f>
        <v>3790.74524698877</v>
      </c>
      <c r="F25" s="11" t="n">
        <f aca="false">F21-F23-F24</f>
        <v>5365.41137103006</v>
      </c>
      <c r="G25" s="11" t="n">
        <f aca="false">G21-G23-G24</f>
        <v>7139.5417331458</v>
      </c>
      <c r="H25" s="11" t="n">
        <f aca="false">H21-H23-H24</f>
        <v>9027.12902260398</v>
      </c>
      <c r="I25" s="11" t="n">
        <f aca="false">I21-I23-I24</f>
        <v>11026.6764552814</v>
      </c>
      <c r="J25" s="11" t="n">
        <f aca="false">J21-J23-J24</f>
        <v>13129.681447284</v>
      </c>
      <c r="K25" s="11" t="n">
        <f aca="false">K21-K23-K24</f>
        <v>14399.6076232169</v>
      </c>
      <c r="L25" s="11" t="n">
        <f aca="false">L21-L23-L24</f>
        <v>14787.4289419732</v>
      </c>
      <c r="M25" s="11" t="n">
        <f aca="false">M21-M23-M24</f>
        <v>15083.1118826126</v>
      </c>
    </row>
    <row r="26" customFormat="false" ht="15" hidden="false" customHeight="false" outlineLevel="0" collapsed="false">
      <c r="A26" s="2" t="s">
        <v>617</v>
      </c>
      <c r="B26" s="0" t="s">
        <v>166</v>
      </c>
      <c r="C26" s="11" t="n">
        <f aca="false">fy25_tax</f>
        <v>-2785</v>
      </c>
      <c r="D26" s="11" t="n">
        <f aca="false">ytd_tax+(D25-(ytd_oi-ytd_int-ytd_oth_exp))*etr_26</f>
        <v>229.419471630916</v>
      </c>
      <c r="E26" s="11" t="n">
        <f aca="false">E25*etr_27</f>
        <v>454.889429638652</v>
      </c>
      <c r="F26" s="11" t="n">
        <f aca="false">F25*(etr_27+(etr_30-etr_27)/3)</f>
        <v>751.157591944208</v>
      </c>
      <c r="G26" s="11" t="n">
        <f aca="false">G25*(etr_27+(etr_30-etr_27)*2/3)</f>
        <v>1142.32667730333</v>
      </c>
      <c r="H26" s="11" t="n">
        <f aca="false">H25*etr_30</f>
        <v>1624.88322406872</v>
      </c>
      <c r="I26" s="11" t="n">
        <f aca="false">I25*etr_30</f>
        <v>1984.80176195066</v>
      </c>
      <c r="J26" s="11" t="n">
        <f aca="false">J25*etr_30</f>
        <v>2363.34266051112</v>
      </c>
      <c r="K26" s="11" t="n">
        <f aca="false">K25*etr_30</f>
        <v>2591.92937217905</v>
      </c>
      <c r="L26" s="11" t="n">
        <f aca="false">L25*etr_30</f>
        <v>2661.73720955518</v>
      </c>
      <c r="M26" s="11" t="n">
        <f aca="false">M25*etr_30</f>
        <v>2714.96013887027</v>
      </c>
    </row>
    <row r="27" customFormat="false" ht="15" hidden="false" customHeight="false" outlineLevel="0" collapsed="false">
      <c r="A27" s="2" t="s">
        <v>618</v>
      </c>
      <c r="B27" s="0" t="s">
        <v>166</v>
      </c>
      <c r="C27" s="11" t="n">
        <f aca="false">C25-C26</f>
        <v>1895</v>
      </c>
      <c r="D27" s="11" t="n">
        <f aca="false">D25-D26</f>
        <v>1879.62970616908</v>
      </c>
      <c r="E27" s="11" t="n">
        <f aca="false">E25-E26</f>
        <v>3335.85581735012</v>
      </c>
      <c r="F27" s="11" t="n">
        <f aca="false">F25-F26</f>
        <v>4614.25377908585</v>
      </c>
      <c r="G27" s="11" t="n">
        <f aca="false">G25-G26</f>
        <v>5997.21505584247</v>
      </c>
      <c r="H27" s="11" t="n">
        <f aca="false">H25-H26</f>
        <v>7402.24579853526</v>
      </c>
      <c r="I27" s="11" t="n">
        <f aca="false">I25-I26</f>
        <v>9041.87469333079</v>
      </c>
      <c r="J27" s="11" t="n">
        <f aca="false">J25-J26</f>
        <v>10766.3387867729</v>
      </c>
      <c r="K27" s="11" t="n">
        <f aca="false">K25-K26</f>
        <v>11807.6782510379</v>
      </c>
      <c r="L27" s="11" t="n">
        <f aca="false">L25-L26</f>
        <v>12125.6917324181</v>
      </c>
      <c r="M27" s="11" t="n">
        <f aca="false">M25-M26</f>
        <v>12368.1517437423</v>
      </c>
    </row>
    <row r="28" customFormat="false" ht="15" hidden="false" customHeight="false" outlineLevel="0" collapsed="false">
      <c r="A28" s="2" t="s">
        <v>619</v>
      </c>
      <c r="B28" s="0" t="s">
        <v>47</v>
      </c>
      <c r="C28" s="10" t="n">
        <f aca="false">C27/C14</f>
        <v>0.0932486959944887</v>
      </c>
      <c r="D28" s="10" t="n">
        <f aca="false">D27/D14</f>
        <v>0.0624632750570446</v>
      </c>
      <c r="E28" s="10" t="n">
        <f aca="false">E27/E14</f>
        <v>0.0821443697502271</v>
      </c>
      <c r="F28" s="10" t="n">
        <f aca="false">F27/F14</f>
        <v>0.0870718184950053</v>
      </c>
      <c r="G28" s="10" t="n">
        <f aca="false">G27/G14</f>
        <v>0.0895190627709118</v>
      </c>
      <c r="H28" s="10" t="n">
        <f aca="false">H27/H14</f>
        <v>0.0903141007056156</v>
      </c>
      <c r="I28" s="10" t="n">
        <f aca="false">I27/I14</f>
        <v>0.0920124617053835</v>
      </c>
      <c r="J28" s="10" t="n">
        <f aca="false">J27/J14</f>
        <v>0.0932831616200591</v>
      </c>
      <c r="K28" s="10" t="n">
        <f aca="false">K27/K14</f>
        <v>0.0938558643739774</v>
      </c>
      <c r="L28" s="10" t="n">
        <f aca="false">L27/L14</f>
        <v>0.094535597510134</v>
      </c>
      <c r="M28" s="10" t="n">
        <f aca="false">M27/M14</f>
        <v>0.0945762125351202</v>
      </c>
    </row>
    <row r="29" customFormat="false" ht="15" hidden="false" customHeight="false" outlineLevel="0" collapsed="false">
      <c r="A29" s="2" t="s">
        <v>620</v>
      </c>
      <c r="B29" s="0" t="s">
        <v>25</v>
      </c>
      <c r="D29" s="14" t="n">
        <f aca="false">D27/sh_fx</f>
        <v>1.66781695312252</v>
      </c>
      <c r="E29" s="14" t="n">
        <f aca="false">E27/sh_fx</f>
        <v>2.9599430500001</v>
      </c>
      <c r="F29" s="14" t="n">
        <f aca="false">F27/sh_fx</f>
        <v>4.09428019439738</v>
      </c>
      <c r="G29" s="14" t="n">
        <f aca="false">G27/sh_fx</f>
        <v>5.32139756507761</v>
      </c>
      <c r="H29" s="14" t="n">
        <f aca="false">H27/sh_fx</f>
        <v>6.56809742549713</v>
      </c>
      <c r="I29" s="14" t="n">
        <f aca="false">I27/sh_fx</f>
        <v>8.02295891156237</v>
      </c>
      <c r="J29" s="14" t="n">
        <f aca="false">J27/sh_fx</f>
        <v>9.55309564043732</v>
      </c>
      <c r="K29" s="14" t="n">
        <f aca="false">K27/sh_fx</f>
        <v>10.477088066582</v>
      </c>
      <c r="L29" s="14" t="n">
        <f aca="false">L27/sh_fx</f>
        <v>10.7592650686939</v>
      </c>
      <c r="M29" s="14" t="n">
        <f aca="false">M27/sh_fx</f>
        <v>10.9744026120163</v>
      </c>
    </row>
    <row r="30" customFormat="false" ht="15" hidden="false" customHeight="false" outlineLevel="0" collapsed="false">
      <c r="A30" s="2" t="s">
        <v>621</v>
      </c>
      <c r="B30" s="0" t="s">
        <v>166</v>
      </c>
      <c r="C30" s="11" t="n">
        <f aca="false">fy25_da</f>
        <v>275</v>
      </c>
      <c r="D30" s="11" t="n">
        <f aca="false">ytd_da+da_q4</f>
        <v>266</v>
      </c>
      <c r="E30" s="11" t="n">
        <f aca="false">(ytd_da+da_q4)*(1+infl)</f>
        <v>273.98</v>
      </c>
      <c r="F30" s="11" t="n">
        <f aca="false">(ytd_da+da_q4)*(1+infl)^2+SUM(Thesis!E28:E28)/life</f>
        <v>287.703061116235</v>
      </c>
      <c r="G30" s="11" t="n">
        <f aca="false">(ytd_da+da_q4)*(1+infl)^3+SUM(Thesis!E28:F28)/life</f>
        <v>311.889921784132</v>
      </c>
      <c r="H30" s="11" t="n">
        <f aca="false">(ytd_da+da_q4)*(1+infl)^4+SUM(Thesis!E28:G28)/life</f>
        <v>336.854791200958</v>
      </c>
      <c r="I30" s="11" t="n">
        <f aca="false">(ytd_da+da_q4)*(1+infl)^5+SUM(Thesis!E28:H28)/life</f>
        <v>362.990974307167</v>
      </c>
      <c r="J30" s="11" t="n">
        <f aca="false">(ytd_da+da_q4)*(1+infl)^6+SUM(Thesis!E28:I28)/life</f>
        <v>389.664840142673</v>
      </c>
      <c r="K30" s="11" t="n">
        <f aca="false">(ytd_da+da_q4)*(1+infl)^7+SUM(Thesis!E28:J28)/life</f>
        <v>408.322918791251</v>
      </c>
      <c r="L30" s="11" t="n">
        <f aca="false">(ytd_da+da_q4)*(1+infl)^8+SUM(Thesis!E28:K28)/life</f>
        <v>418.137312237341</v>
      </c>
      <c r="M30" s="11" t="n">
        <f aca="false">(ytd_da+da_q4)*(1+infl)^9+SUM(Thesis!E28:L28)/life</f>
        <v>428.246137486814</v>
      </c>
    </row>
    <row r="31" customFormat="false" ht="15" hidden="false" customHeight="false" outlineLevel="0" collapsed="false">
      <c r="A31" s="2" t="s">
        <v>505</v>
      </c>
      <c r="B31" s="0" t="s">
        <v>166</v>
      </c>
      <c r="C31" s="11" t="n">
        <f aca="false">fy25_sbc</f>
        <v>99</v>
      </c>
      <c r="D31" s="11" t="n">
        <f aca="false">ytd_sbc+sbc_q4</f>
        <v>103</v>
      </c>
      <c r="E31" s="11" t="n">
        <f aca="false">(ytd_sbc+sbc_q4)*(1+infl)^1</f>
        <v>106.09</v>
      </c>
      <c r="F31" s="11" t="n">
        <f aca="false">(ytd_sbc+sbc_q4)*(1+infl)^2</f>
        <v>109.2727</v>
      </c>
      <c r="G31" s="11" t="n">
        <f aca="false">(ytd_sbc+sbc_q4)*(1+infl)^3</f>
        <v>112.550881</v>
      </c>
      <c r="H31" s="11" t="n">
        <f aca="false">(ytd_sbc+sbc_q4)*(1+infl)^4</f>
        <v>115.92740743</v>
      </c>
      <c r="I31" s="11" t="n">
        <f aca="false">(ytd_sbc+sbc_q4)*(1+infl)^5</f>
        <v>119.4052296529</v>
      </c>
      <c r="J31" s="11" t="n">
        <f aca="false">(ytd_sbc+sbc_q4)*(1+infl)^6</f>
        <v>122.987386542487</v>
      </c>
      <c r="K31" s="11" t="n">
        <f aca="false">(ytd_sbc+sbc_q4)*(1+infl)^7</f>
        <v>126.677008138762</v>
      </c>
      <c r="L31" s="11" t="n">
        <f aca="false">(ytd_sbc+sbc_q4)*(1+infl)^8</f>
        <v>130.477318382925</v>
      </c>
      <c r="M31" s="11" t="n">
        <f aca="false">(ytd_sbc+sbc_q4)*(1+infl)^9</f>
        <v>134.391637934412</v>
      </c>
    </row>
    <row r="32" customFormat="false" ht="15" hidden="false" customHeight="false" outlineLevel="0" collapsed="false">
      <c r="A32" s="2" t="s">
        <v>622</v>
      </c>
      <c r="B32" s="0" t="s">
        <v>166</v>
      </c>
      <c r="C32" s="11" t="n">
        <f aca="false">fy25_warrant</f>
        <v>21</v>
      </c>
      <c r="D32" s="11" t="n">
        <f aca="false">ytd_warrant+warr/4</f>
        <v>21.25</v>
      </c>
      <c r="E32" s="11" t="n">
        <f aca="false">warr</f>
        <v>21</v>
      </c>
      <c r="F32" s="11" t="n">
        <f aca="false">warr</f>
        <v>21</v>
      </c>
      <c r="G32" s="11" t="n">
        <f aca="false">warr</f>
        <v>21</v>
      </c>
      <c r="H32" s="11" t="n">
        <f aca="false">warr</f>
        <v>21</v>
      </c>
      <c r="I32" s="11" t="n">
        <f aca="false">warr</f>
        <v>21</v>
      </c>
      <c r="J32" s="11" t="n">
        <f aca="false">warr</f>
        <v>21</v>
      </c>
      <c r="K32" s="11" t="n">
        <f aca="false">warr</f>
        <v>21</v>
      </c>
      <c r="L32" s="11" t="n">
        <f aca="false">warr</f>
        <v>21</v>
      </c>
      <c r="M32" s="11" t="n">
        <f aca="false">warr</f>
        <v>21</v>
      </c>
    </row>
    <row r="33" customFormat="false" ht="17.15" hidden="false" customHeight="false" outlineLevel="0" collapsed="false">
      <c r="A33" s="2" t="s">
        <v>509</v>
      </c>
      <c r="B33" s="0" t="s">
        <v>166</v>
      </c>
      <c r="C33" s="11" t="n">
        <f aca="false">Q!M19</f>
        <v>2237</v>
      </c>
      <c r="D33" s="11" t="n">
        <f aca="false">D21+D30+D31-D32</f>
        <v>2952.2070528</v>
      </c>
      <c r="E33" s="11" t="n">
        <f aca="false">E21+E30+E31-E32</f>
        <v>4515.971493088</v>
      </c>
      <c r="F33" s="11" t="n">
        <f aca="false">F21+F30+F31-F32</f>
        <v>6085.41880012439</v>
      </c>
      <c r="G33" s="11" t="n">
        <f aca="false">G21+G30+G31-G32</f>
        <v>7896.51054361516</v>
      </c>
      <c r="H33" s="11" t="n">
        <f aca="false">H21+H30+H31-H32</f>
        <v>9860.74063851241</v>
      </c>
      <c r="I33" s="11" t="n">
        <f aca="false">I21+I30+I31-I32</f>
        <v>11942.4364801569</v>
      </c>
      <c r="J33" s="11" t="n">
        <f aca="false">J21+J30+J31-J32</f>
        <v>14133.5543408468</v>
      </c>
      <c r="K33" s="11" t="n">
        <f aca="false">K21+K30+K31-K32</f>
        <v>15468.5412618468</v>
      </c>
      <c r="L33" s="11" t="n">
        <f aca="false">L21+L30+L31-L32</f>
        <v>15791.0028954769</v>
      </c>
      <c r="M33" s="11" t="n">
        <f aca="false">M21+M30+M31-M32</f>
        <v>16109.6184307036</v>
      </c>
    </row>
    <row r="34" customFormat="false" ht="17.15" hidden="false" customHeight="false" outlineLevel="0" collapsed="false">
      <c r="A34" s="2" t="s">
        <v>534</v>
      </c>
      <c r="B34" s="0" t="s">
        <v>47</v>
      </c>
      <c r="C34" s="10" t="n">
        <f aca="false">C33/C14</f>
        <v>0.110077748253125</v>
      </c>
      <c r="D34" s="10" t="n">
        <f aca="false">D33/D14</f>
        <v>0.098106834851122</v>
      </c>
      <c r="E34" s="10" t="n">
        <f aca="false">E33/E14</f>
        <v>0.111204336284649</v>
      </c>
      <c r="F34" s="10" t="n">
        <f aca="false">F33/F14</f>
        <v>0.114832973347101</v>
      </c>
      <c r="G34" s="10" t="n">
        <f aca="false">G33/G14</f>
        <v>0.117869413793391</v>
      </c>
      <c r="H34" s="10" t="n">
        <f aca="false">H33/H14</f>
        <v>0.120309963664647</v>
      </c>
      <c r="I34" s="10" t="n">
        <f aca="false">I33/I14</f>
        <v>0.121529330649751</v>
      </c>
      <c r="J34" s="10" t="n">
        <f aca="false">J33/J14</f>
        <v>0.12245784383665</v>
      </c>
      <c r="K34" s="10" t="n">
        <f aca="false">K33/K14</f>
        <v>0.122955019595622</v>
      </c>
      <c r="L34" s="10" t="n">
        <f aca="false">L33/L14</f>
        <v>0.123111483200346</v>
      </c>
      <c r="M34" s="10" t="n">
        <f aca="false">M33/M14</f>
        <v>0.123186287501103</v>
      </c>
    </row>
    <row r="35" customFormat="false" ht="17.15" hidden="false" customHeight="false" outlineLevel="0" collapsed="false">
      <c r="A35" s="2" t="s">
        <v>623</v>
      </c>
      <c r="B35" s="0" t="s">
        <v>47</v>
      </c>
      <c r="C35" s="10" t="n">
        <f aca="false">C12/C33</f>
        <v>0.533303531515422</v>
      </c>
      <c r="D35" s="10" t="n">
        <f aca="false">D12/D33</f>
        <v>0.498820026394593</v>
      </c>
      <c r="E35" s="10" t="n">
        <f aca="false">E12/E33</f>
        <v>0.464448680176629</v>
      </c>
      <c r="F35" s="10" t="n">
        <f aca="false">F12/F33</f>
        <v>0.449995938936238</v>
      </c>
      <c r="G35" s="10" t="n">
        <f aca="false">G12/G33</f>
        <v>0.438617245908782</v>
      </c>
      <c r="H35" s="10" t="n">
        <f aca="false">H12/H33</f>
        <v>0.429925104076365</v>
      </c>
      <c r="I35" s="10" t="n">
        <f aca="false">I12/I33</f>
        <v>0.425811017744551</v>
      </c>
      <c r="J35" s="10" t="n">
        <f aca="false">J12/J33</f>
        <v>0.422776746549264</v>
      </c>
      <c r="K35" s="10" t="n">
        <f aca="false">K12/K33</f>
        <v>0.42125717513861</v>
      </c>
      <c r="L35" s="10" t="n">
        <f aca="false">L12/L33</f>
        <v>0.420907951153252</v>
      </c>
      <c r="M35" s="10" t="n">
        <f aca="false">M12/M33</f>
        <v>0.420834911643648</v>
      </c>
    </row>
    <row r="37" customFormat="false" ht="17.15" hidden="false" customHeight="false" outlineLevel="0" collapsed="false">
      <c r="A37" s="9" t="s">
        <v>577</v>
      </c>
    </row>
    <row r="38" customFormat="false" ht="15" hidden="false" customHeight="false" outlineLevel="0" collapsed="false">
      <c r="A38" s="2" t="s">
        <v>496</v>
      </c>
      <c r="B38" s="0" t="s">
        <v>166</v>
      </c>
      <c r="C38" s="11" t="n">
        <f aca="false">Thesis!C36</f>
        <v>14537</v>
      </c>
      <c r="D38" s="11" t="n">
        <f aca="false">Thesis!D36</f>
        <v>22745.8313001</v>
      </c>
      <c r="E38" s="11" t="n">
        <f aca="false">Thesis!E36</f>
        <v>29000.9349076275</v>
      </c>
      <c r="F38" s="11" t="n">
        <f aca="false">Thesis!F36</f>
        <v>35497.1443269361</v>
      </c>
      <c r="G38" s="11" t="n">
        <f aca="false">Thesis!G36</f>
        <v>42181.2566036981</v>
      </c>
      <c r="H38" s="11" t="n">
        <f aca="false">Thesis!H36</f>
        <v>48618.1163614225</v>
      </c>
      <c r="I38" s="11" t="n">
        <f aca="false">Thesis!I36</f>
        <v>55243.7932591571</v>
      </c>
      <c r="J38" s="11" t="n">
        <f aca="false">Thesis!J36</f>
        <v>61870.8386985256</v>
      </c>
      <c r="K38" s="11" t="n">
        <f aca="false">Thesis!K36</f>
        <v>68283.1324212408</v>
      </c>
      <c r="L38" s="11" t="n">
        <f aca="false">Thesis!L36</f>
        <v>74245.6155442636</v>
      </c>
      <c r="M38" s="11" t="n">
        <f aca="false">Thesis!M36</f>
        <v>79517.0542479063</v>
      </c>
    </row>
    <row r="39" customFormat="false" ht="15" hidden="false" customHeight="false" outlineLevel="0" collapsed="false">
      <c r="A39" s="2" t="s">
        <v>497</v>
      </c>
      <c r="B39" s="0" t="s">
        <v>166</v>
      </c>
      <c r="C39" s="11" t="n">
        <f aca="false">Thesis!C38</f>
        <v>4052</v>
      </c>
      <c r="D39" s="11" t="n">
        <f aca="false">Thesis!D38</f>
        <v>5094.04588766374</v>
      </c>
      <c r="E39" s="11" t="n">
        <f aca="false">Thesis!E38</f>
        <v>6494.90850677127</v>
      </c>
      <c r="F39" s="11" t="n">
        <f aca="false">Thesis!F38</f>
        <v>7949.76801228803</v>
      </c>
      <c r="G39" s="11" t="n">
        <f aca="false">Thesis!G38</f>
        <v>9446.70932900187</v>
      </c>
      <c r="H39" s="11" t="n">
        <f aca="false">Thesis!H38</f>
        <v>10888.2771726076</v>
      </c>
      <c r="I39" s="11" t="n">
        <f aca="false">Thesis!I38</f>
        <v>12372.1315856905</v>
      </c>
      <c r="J39" s="11" t="n">
        <f aca="false">Thesis!J38</f>
        <v>13856.2924907099</v>
      </c>
      <c r="K39" s="11" t="n">
        <f aca="false">Thesis!K38</f>
        <v>15292.3586444471</v>
      </c>
      <c r="L39" s="11" t="n">
        <f aca="false">Thesis!L38</f>
        <v>16627.6874012803</v>
      </c>
      <c r="M39" s="11" t="n">
        <f aca="false">Thesis!M38</f>
        <v>17808.2532067712</v>
      </c>
    </row>
    <row r="40" customFormat="false" ht="15" hidden="false" customHeight="false" outlineLevel="0" collapsed="false">
      <c r="A40" s="2" t="s">
        <v>498</v>
      </c>
      <c r="B40" s="0" t="s">
        <v>166</v>
      </c>
      <c r="C40" s="11" t="n">
        <f aca="false">Q!M8</f>
        <v>1733</v>
      </c>
      <c r="D40" s="11" t="n">
        <f aca="false">Thesis!D49</f>
        <v>2251.88</v>
      </c>
      <c r="E40" s="11" t="n">
        <f aca="false">Thesis!E49</f>
        <v>2761.663352</v>
      </c>
      <c r="F40" s="11" t="n">
        <f aca="false">Thesis!F49</f>
        <v>3336.638808192</v>
      </c>
      <c r="G40" s="11" t="n">
        <f aca="false">Thesis!G49</f>
        <v>3913.61859140283</v>
      </c>
      <c r="H40" s="11" t="n">
        <f aca="false">Thesis!H49</f>
        <v>4452.31319832825</v>
      </c>
      <c r="I40" s="11" t="n">
        <f aca="false">Thesis!I49</f>
        <v>5024.79030583809</v>
      </c>
      <c r="J40" s="11" t="n">
        <f aca="false">Thesis!J49</f>
        <v>5589.92017052257</v>
      </c>
      <c r="K40" s="11" t="n">
        <f aca="false">Thesis!K49</f>
        <v>6128.52871019855</v>
      </c>
      <c r="L40" s="11" t="n">
        <f aca="false">Thesis!L49</f>
        <v>6620.25281844752</v>
      </c>
      <c r="M40" s="11" t="n">
        <f aca="false">Thesis!M49</f>
        <v>7044.70079889544</v>
      </c>
    </row>
    <row r="41" customFormat="false" ht="15" hidden="false" customHeight="false" outlineLevel="0" collapsed="false">
      <c r="A41" s="2" t="s">
        <v>609</v>
      </c>
      <c r="B41" s="0" t="s">
        <v>166</v>
      </c>
      <c r="C41" s="11" t="n">
        <f aca="false">Thesis!C44</f>
        <v>1193</v>
      </c>
      <c r="D41" s="11" t="n">
        <f aca="false">Thesis!D44</f>
        <v>1472.62</v>
      </c>
      <c r="E41" s="11" t="n">
        <f aca="false">Thesis!E44</f>
        <v>1787.588352</v>
      </c>
      <c r="F41" s="11" t="n">
        <f aca="false">Thesis!F44</f>
        <v>2167.748808192</v>
      </c>
      <c r="G41" s="11" t="n">
        <f aca="false">Thesis!G44</f>
        <v>2551.86174140283</v>
      </c>
      <c r="H41" s="11" t="n">
        <f aca="false">Thesis!H44</f>
        <v>2913.52795782825</v>
      </c>
      <c r="I41" s="11" t="n">
        <f aca="false">Thesis!I44</f>
        <v>3310.58354792109</v>
      </c>
      <c r="J41" s="11" t="n">
        <f aca="false">Thesis!J44</f>
        <v>3707.7211503297</v>
      </c>
      <c r="K41" s="11" t="n">
        <f aca="false">Thesis!K44</f>
        <v>4091.98937034987</v>
      </c>
      <c r="L41" s="11" t="n">
        <f aca="false">Thesis!L44</f>
        <v>4449.30188216882</v>
      </c>
      <c r="M41" s="11" t="n">
        <f aca="false">Thesis!M44</f>
        <v>4765.20231580281</v>
      </c>
    </row>
    <row r="42" customFormat="false" ht="17.15" hidden="false" customHeight="false" outlineLevel="0" collapsed="false">
      <c r="A42" s="2" t="s">
        <v>610</v>
      </c>
      <c r="B42" s="0" t="s">
        <v>166</v>
      </c>
      <c r="C42" s="11" t="n">
        <f aca="false">C40-C41</f>
        <v>540</v>
      </c>
      <c r="D42" s="11" t="n">
        <f aca="false">D40-D41</f>
        <v>779.26</v>
      </c>
      <c r="E42" s="11" t="n">
        <f aca="false">E40-E41</f>
        <v>974.075</v>
      </c>
      <c r="F42" s="11" t="n">
        <f aca="false">F40-F41</f>
        <v>1168.89</v>
      </c>
      <c r="G42" s="11" t="n">
        <f aca="false">G40-G41</f>
        <v>1361.75685</v>
      </c>
      <c r="H42" s="11" t="n">
        <f aca="false">H40-H41</f>
        <v>1538.7852405</v>
      </c>
      <c r="I42" s="11" t="n">
        <f aca="false">I40-I41</f>
        <v>1714.206757917</v>
      </c>
      <c r="J42" s="11" t="n">
        <f aca="false">J40-J41</f>
        <v>1882.19902019287</v>
      </c>
      <c r="K42" s="11" t="n">
        <f aca="false">K40-K41</f>
        <v>2036.53933984868</v>
      </c>
      <c r="L42" s="11" t="n">
        <f aca="false">L40-L41</f>
        <v>2170.9509362787</v>
      </c>
      <c r="M42" s="11" t="n">
        <f aca="false">M40-M41</f>
        <v>2279.49848309263</v>
      </c>
    </row>
    <row r="43" customFormat="false" ht="15" hidden="false" customHeight="false" outlineLevel="0" collapsed="false">
      <c r="A43" s="2" t="s">
        <v>499</v>
      </c>
      <c r="B43" s="0" t="s">
        <v>166</v>
      </c>
      <c r="C43" s="11" t="n">
        <f aca="false">Q!M9</f>
        <v>20322</v>
      </c>
      <c r="D43" s="11" t="n">
        <f aca="false">D38+D39+D40</f>
        <v>30091.7571877637</v>
      </c>
      <c r="E43" s="11" t="n">
        <f aca="false">E38+E39+E40</f>
        <v>38257.5067663988</v>
      </c>
      <c r="F43" s="11" t="n">
        <f aca="false">F38+F39+F40</f>
        <v>46783.5511474161</v>
      </c>
      <c r="G43" s="11" t="n">
        <f aca="false">G38+G39+G40</f>
        <v>55541.5845241028</v>
      </c>
      <c r="H43" s="11" t="n">
        <f aca="false">H38+H39+H40</f>
        <v>63958.7067323583</v>
      </c>
      <c r="I43" s="11" t="n">
        <f aca="false">I38+I39+I40</f>
        <v>72640.7151506857</v>
      </c>
      <c r="J43" s="11" t="n">
        <f aca="false">J38+J39+J40</f>
        <v>81317.0513597581</v>
      </c>
      <c r="K43" s="11" t="n">
        <f aca="false">K38+K39+K40</f>
        <v>89704.0197758865</v>
      </c>
      <c r="L43" s="11" t="n">
        <f aca="false">L38+L39+L40</f>
        <v>97493.5557639913</v>
      </c>
      <c r="M43" s="11" t="n">
        <f aca="false">M38+M39+M40</f>
        <v>104370.008253573</v>
      </c>
    </row>
    <row r="44" customFormat="false" ht="15" hidden="false" customHeight="false" outlineLevel="0" collapsed="false">
      <c r="A44" s="2" t="s">
        <v>611</v>
      </c>
      <c r="B44" s="0" t="s">
        <v>47</v>
      </c>
      <c r="D44" s="10" t="n">
        <f aca="false">D43/C43-1</f>
        <v>0.480747819494328</v>
      </c>
      <c r="E44" s="10" t="n">
        <f aca="false">E43/D43-1</f>
        <v>0.27136167315465</v>
      </c>
      <c r="F44" s="10" t="n">
        <f aca="false">F43/E43-1</f>
        <v>0.222859383730298</v>
      </c>
      <c r="G44" s="10" t="n">
        <f aca="false">G43/F43-1</f>
        <v>0.187203261870608</v>
      </c>
      <c r="H44" s="10" t="n">
        <f aca="false">H43/G43-1</f>
        <v>0.151546310397442</v>
      </c>
      <c r="I44" s="10" t="n">
        <f aca="false">I43/H43-1</f>
        <v>0.135743964534152</v>
      </c>
      <c r="J44" s="10" t="n">
        <f aca="false">J43/I43-1</f>
        <v>0.119441778499485</v>
      </c>
      <c r="K44" s="10" t="n">
        <f aca="false">K43/J43-1</f>
        <v>0.103139111365748</v>
      </c>
      <c r="L44" s="10" t="n">
        <f aca="false">L43/K43-1</f>
        <v>0.0868359746593961</v>
      </c>
      <c r="M44" s="10" t="n">
        <f aca="false">M43/L43-1</f>
        <v>0.0705323796603317</v>
      </c>
    </row>
    <row r="45" customFormat="false" ht="15" hidden="false" customHeight="false" outlineLevel="0" collapsed="false">
      <c r="A45" s="2" t="s">
        <v>500</v>
      </c>
      <c r="B45" s="0" t="s">
        <v>166</v>
      </c>
      <c r="C45" s="11" t="n">
        <f aca="false">Thesis!C47</f>
        <v>1978</v>
      </c>
      <c r="D45" s="11" t="n">
        <f aca="false">Thesis!D47</f>
        <v>2721.4418612</v>
      </c>
      <c r="E45" s="11" t="n">
        <f aca="false">Thesis!E47</f>
        <v>3552.79145625</v>
      </c>
      <c r="F45" s="11" t="n">
        <f aca="false">Thesis!F47</f>
        <v>4222.1579625</v>
      </c>
      <c r="G45" s="11" t="n">
        <f aca="false">Thesis!G47</f>
        <v>4870.8255967875</v>
      </c>
      <c r="H45" s="11" t="n">
        <f aca="false">Thesis!H47</f>
        <v>5449.80599900663</v>
      </c>
      <c r="I45" s="11" t="n">
        <f aca="false">Thesis!I47</f>
        <v>6071.08388289338</v>
      </c>
      <c r="J45" s="11" t="n">
        <f aca="false">Thesis!J47</f>
        <v>6666.05010341693</v>
      </c>
      <c r="K45" s="11" t="n">
        <f aca="false">Thesis!K47</f>
        <v>7212.66621189712</v>
      </c>
      <c r="L45" s="11" t="n">
        <f aca="false">Thesis!L47</f>
        <v>7688.70218188233</v>
      </c>
      <c r="M45" s="11" t="n">
        <f aca="false">Thesis!M47</f>
        <v>8073.13729097645</v>
      </c>
    </row>
    <row r="46" customFormat="false" ht="15" hidden="false" customHeight="false" outlineLevel="0" collapsed="false">
      <c r="A46" s="2" t="s">
        <v>501</v>
      </c>
      <c r="B46" s="0" t="s">
        <v>166</v>
      </c>
      <c r="C46" s="11" t="n">
        <f aca="false">Thesis!C48</f>
        <v>481</v>
      </c>
      <c r="D46" s="11" t="n">
        <f aca="false">Thesis!D48</f>
        <v>620.9867516</v>
      </c>
      <c r="E46" s="11" t="n">
        <f aca="false">Thesis!E48</f>
        <v>729.0945945</v>
      </c>
      <c r="F46" s="11" t="n">
        <f aca="false">Thesis!F48</f>
        <v>874.9135134</v>
      </c>
      <c r="G46" s="11" t="n">
        <f aca="false">Thesis!G48</f>
        <v>1019.274243111</v>
      </c>
      <c r="H46" s="11" t="n">
        <f aca="false">Thesis!H48</f>
        <v>1151.77989471543</v>
      </c>
      <c r="I46" s="11" t="n">
        <f aca="false">Thesis!I48</f>
        <v>1283.08280271299</v>
      </c>
      <c r="J46" s="11" t="n">
        <f aca="false">Thesis!J48</f>
        <v>1408.82491737886</v>
      </c>
      <c r="K46" s="11" t="n">
        <f aca="false">Thesis!K48</f>
        <v>1524.34856060393</v>
      </c>
      <c r="L46" s="11" t="n">
        <f aca="false">Thesis!L48</f>
        <v>1624.95556560379</v>
      </c>
      <c r="M46" s="11" t="n">
        <f aca="false">Thesis!M48</f>
        <v>1706.20334388398</v>
      </c>
    </row>
    <row r="47" customFormat="false" ht="15" hidden="false" customHeight="false" outlineLevel="0" collapsed="false">
      <c r="A47" s="2" t="s">
        <v>612</v>
      </c>
      <c r="B47" s="0" t="s">
        <v>166</v>
      </c>
      <c r="C47" s="11" t="n">
        <f aca="false">C40</f>
        <v>1733</v>
      </c>
      <c r="D47" s="11" t="n">
        <f aca="false">D40</f>
        <v>2251.88</v>
      </c>
      <c r="E47" s="11" t="n">
        <f aca="false">E40</f>
        <v>2761.663352</v>
      </c>
      <c r="F47" s="11" t="n">
        <f aca="false">F40</f>
        <v>3336.638808192</v>
      </c>
      <c r="G47" s="11" t="n">
        <f aca="false">G40</f>
        <v>3913.61859140283</v>
      </c>
      <c r="H47" s="11" t="n">
        <f aca="false">H40</f>
        <v>4452.31319832825</v>
      </c>
      <c r="I47" s="11" t="n">
        <f aca="false">I40</f>
        <v>5024.79030583809</v>
      </c>
      <c r="J47" s="11" t="n">
        <f aca="false">J40</f>
        <v>5589.92017052257</v>
      </c>
      <c r="K47" s="11" t="n">
        <f aca="false">K40</f>
        <v>6128.52871019855</v>
      </c>
      <c r="L47" s="11" t="n">
        <f aca="false">L40</f>
        <v>6620.25281844752</v>
      </c>
      <c r="M47" s="11" t="n">
        <f aca="false">M40</f>
        <v>7044.70079889544</v>
      </c>
    </row>
    <row r="48" customFormat="false" ht="15" hidden="false" customHeight="false" outlineLevel="0" collapsed="false">
      <c r="A48" s="2" t="s">
        <v>525</v>
      </c>
      <c r="B48" s="0" t="s">
        <v>166</v>
      </c>
      <c r="C48" s="11" t="n">
        <f aca="false">C45+C46+C47</f>
        <v>4192</v>
      </c>
      <c r="D48" s="11" t="n">
        <f aca="false">D45+D46+D47</f>
        <v>5594.3086128</v>
      </c>
      <c r="E48" s="11" t="n">
        <f aca="false">E45+E46+E47</f>
        <v>7043.54940275</v>
      </c>
      <c r="F48" s="11" t="n">
        <f aca="false">F45+F46+F47</f>
        <v>8433.710284092</v>
      </c>
      <c r="G48" s="11" t="n">
        <f aca="false">G45+G46+G47</f>
        <v>9803.71843130133</v>
      </c>
      <c r="H48" s="11" t="n">
        <f aca="false">H45+H46+H47</f>
        <v>11053.8990920503</v>
      </c>
      <c r="I48" s="11" t="n">
        <f aca="false">I45+I46+I47</f>
        <v>12378.9569914445</v>
      </c>
      <c r="J48" s="11" t="n">
        <f aca="false">J45+J46+J47</f>
        <v>13664.7951913184</v>
      </c>
      <c r="K48" s="11" t="n">
        <f aca="false">K45+K46+K47</f>
        <v>14865.5434826996</v>
      </c>
      <c r="L48" s="11" t="n">
        <f aca="false">L45+L46+L47</f>
        <v>15933.9105659336</v>
      </c>
      <c r="M48" s="11" t="n">
        <f aca="false">M45+M46+M47</f>
        <v>16824.0414337559</v>
      </c>
    </row>
    <row r="49" customFormat="false" ht="15" hidden="false" customHeight="false" outlineLevel="0" collapsed="false">
      <c r="A49" s="0" t="s">
        <v>502</v>
      </c>
      <c r="B49" s="0" t="s">
        <v>166</v>
      </c>
      <c r="C49" s="11" t="n">
        <f aca="false">Thesis!C51</f>
        <v>2308</v>
      </c>
      <c r="D49" s="11" t="n">
        <f aca="false">Thesis!D51</f>
        <v>2989.85156</v>
      </c>
      <c r="E49" s="11" t="n">
        <f aca="false">Thesis!E51</f>
        <v>3540.57357575</v>
      </c>
      <c r="F49" s="11" t="n">
        <f aca="false">Thesis!F51</f>
        <v>4078.4971665365</v>
      </c>
      <c r="G49" s="11" t="n">
        <f aca="false">Thesis!G51</f>
        <v>4595.3935157298</v>
      </c>
      <c r="H49" s="11" t="n">
        <f aca="false">Thesis!H51</f>
        <v>5053.19208808505</v>
      </c>
      <c r="I49" s="11" t="n">
        <f aca="false">Thesis!I51</f>
        <v>5493.31701461391</v>
      </c>
      <c r="J49" s="11" t="n">
        <f aca="false">Thesis!J51</f>
        <v>5900.56572354228</v>
      </c>
      <c r="K49" s="11" t="n">
        <f aca="false">Thesis!K51</f>
        <v>6259.60228073981</v>
      </c>
      <c r="L49" s="11" t="n">
        <f aca="false">Thesis!L51</f>
        <v>6555.91034308754</v>
      </c>
      <c r="M49" s="11" t="n">
        <f aca="false">Thesis!M51</f>
        <v>6776.78930680308</v>
      </c>
    </row>
    <row r="50" customFormat="false" ht="15" hidden="false" customHeight="false" outlineLevel="0" collapsed="false">
      <c r="A50" s="2" t="s">
        <v>503</v>
      </c>
      <c r="B50" s="0" t="s">
        <v>166</v>
      </c>
      <c r="C50" s="11" t="n">
        <f aca="false">fy25_oi</f>
        <v>1881</v>
      </c>
      <c r="D50" s="11" t="n">
        <f aca="false">D48-D49</f>
        <v>2604.4570528</v>
      </c>
      <c r="E50" s="11" t="n">
        <f aca="false">E48-E49</f>
        <v>3502.975827</v>
      </c>
      <c r="F50" s="11" t="n">
        <f aca="false">F48-F49</f>
        <v>4355.2131175555</v>
      </c>
      <c r="G50" s="11" t="n">
        <f aca="false">G48-G49</f>
        <v>5208.32491557153</v>
      </c>
      <c r="H50" s="11" t="n">
        <f aca="false">H48-H49</f>
        <v>6000.70700396525</v>
      </c>
      <c r="I50" s="11" t="n">
        <f aca="false">I48-I49</f>
        <v>6885.63997683054</v>
      </c>
      <c r="J50" s="11" t="n">
        <f aca="false">J48-J49</f>
        <v>7764.22946777608</v>
      </c>
      <c r="K50" s="11" t="n">
        <f aca="false">K48-K49</f>
        <v>8605.9412019598</v>
      </c>
      <c r="L50" s="11" t="n">
        <f aca="false">L48-L49</f>
        <v>9378.00022284609</v>
      </c>
      <c r="M50" s="11" t="n">
        <f aca="false">M48-M49</f>
        <v>10047.2521269528</v>
      </c>
    </row>
    <row r="51" customFormat="false" ht="15" hidden="false" customHeight="false" outlineLevel="0" collapsed="false">
      <c r="A51" s="2" t="s">
        <v>613</v>
      </c>
      <c r="B51" s="0" t="s">
        <v>47</v>
      </c>
      <c r="C51" s="10" t="n">
        <f aca="false">C50/C43</f>
        <v>0.0925597874224978</v>
      </c>
      <c r="D51" s="10" t="n">
        <f aca="false">D50/D43</f>
        <v>0.0865505140344232</v>
      </c>
      <c r="E51" s="10" t="n">
        <f aca="false">E50/E43</f>
        <v>0.0915630976265456</v>
      </c>
      <c r="F51" s="10" t="n">
        <f aca="false">F50/F43</f>
        <v>0.093092828798569</v>
      </c>
      <c r="G51" s="10" t="n">
        <f aca="false">G50/G43</f>
        <v>0.0937734304881296</v>
      </c>
      <c r="H51" s="10" t="n">
        <f aca="false">H50/H43</f>
        <v>0.0938215813067613</v>
      </c>
      <c r="I51" s="10" t="n">
        <f aca="false">I50/I43</f>
        <v>0.0947903660164549</v>
      </c>
      <c r="J51" s="10" t="n">
        <f aca="false">J50/J43</f>
        <v>0.0954809518784201</v>
      </c>
      <c r="K51" s="10" t="n">
        <f aca="false">K50/K43</f>
        <v>0.0959370742076062</v>
      </c>
      <c r="L51" s="10" t="n">
        <f aca="false">L50/L43</f>
        <v>0.0961909753865989</v>
      </c>
      <c r="M51" s="10" t="n">
        <f aca="false">M50/M43</f>
        <v>0.0962657021406227</v>
      </c>
    </row>
    <row r="52" customFormat="false" ht="17.15" hidden="false" customHeight="false" outlineLevel="0" collapsed="false">
      <c r="A52" s="2" t="s">
        <v>614</v>
      </c>
      <c r="B52" s="0" t="s">
        <v>166</v>
      </c>
      <c r="C52" s="0" t="n">
        <f aca="false">fy25_int</f>
        <v>505</v>
      </c>
      <c r="D52" s="11" t="n">
        <f aca="false">CF!D85</f>
        <v>390.407875</v>
      </c>
      <c r="E52" s="11" t="n">
        <f aca="false">CF!E85</f>
        <v>361.032467859232</v>
      </c>
      <c r="F52" s="11" t="n">
        <f aca="false">CF!F85</f>
        <v>327.552615789879</v>
      </c>
      <c r="G52" s="11" t="n">
        <f aca="false">CF!G85</f>
        <v>320.612954756194</v>
      </c>
      <c r="H52" s="11" t="n">
        <f aca="false">CF!H85</f>
        <v>347.86122407995</v>
      </c>
      <c r="I52" s="11" t="n">
        <f aca="false">CF!I85</f>
        <v>375.287424763771</v>
      </c>
      <c r="J52" s="11" t="n">
        <f aca="false">CF!J85</f>
        <v>404.776469410502</v>
      </c>
      <c r="K52" s="11" t="n">
        <f aca="false">CF!K85</f>
        <v>433.59393536554</v>
      </c>
      <c r="L52" s="11" t="n">
        <f aca="false">CF!L85</f>
        <v>365.27828532688</v>
      </c>
      <c r="M52" s="11" t="n">
        <f aca="false">CF!M85</f>
        <v>390.567202487409</v>
      </c>
    </row>
    <row r="53" customFormat="false" ht="15" hidden="false" customHeight="false" outlineLevel="0" collapsed="false">
      <c r="A53" s="2" t="s">
        <v>615</v>
      </c>
      <c r="B53" s="0" t="s">
        <v>166</v>
      </c>
      <c r="C53" s="11" t="n">
        <f aca="false">Q!M21</f>
        <v>2266</v>
      </c>
      <c r="D53" s="11" t="n">
        <f aca="false">ytd_oth_exp</f>
        <v>105</v>
      </c>
      <c r="E53" s="11" t="n">
        <f aca="false">0</f>
        <v>0</v>
      </c>
      <c r="F53" s="11" t="n">
        <f aca="false">0</f>
        <v>0</v>
      </c>
      <c r="G53" s="11" t="n">
        <f aca="false">0</f>
        <v>0</v>
      </c>
      <c r="H53" s="11" t="n">
        <f aca="false">0</f>
        <v>0</v>
      </c>
      <c r="I53" s="11" t="n">
        <f aca="false">0</f>
        <v>0</v>
      </c>
      <c r="J53" s="11" t="n">
        <f aca="false">0</f>
        <v>0</v>
      </c>
      <c r="K53" s="11" t="n">
        <f aca="false">0</f>
        <v>0</v>
      </c>
      <c r="L53" s="11" t="n">
        <f aca="false">0</f>
        <v>0</v>
      </c>
      <c r="M53" s="11" t="n">
        <f aca="false">0</f>
        <v>0</v>
      </c>
    </row>
    <row r="54" customFormat="false" ht="15" hidden="false" customHeight="false" outlineLevel="0" collapsed="false">
      <c r="A54" s="2" t="s">
        <v>616</v>
      </c>
      <c r="B54" s="0" t="s">
        <v>166</v>
      </c>
      <c r="C54" s="11" t="n">
        <f aca="false">C50-C52-C53</f>
        <v>-890</v>
      </c>
      <c r="D54" s="11" t="n">
        <f aca="false">D50-D52-D53</f>
        <v>2109.0491778</v>
      </c>
      <c r="E54" s="11" t="n">
        <f aca="false">E50-E52-E53</f>
        <v>3141.94335914077</v>
      </c>
      <c r="F54" s="11" t="n">
        <f aca="false">F50-F52-F53</f>
        <v>4027.66050176562</v>
      </c>
      <c r="G54" s="11" t="n">
        <f aca="false">G50-G52-G53</f>
        <v>4887.71196081534</v>
      </c>
      <c r="H54" s="11" t="n">
        <f aca="false">H50-H52-H53</f>
        <v>5652.8457798853</v>
      </c>
      <c r="I54" s="11" t="n">
        <f aca="false">I50-I52-I53</f>
        <v>6510.35255206677</v>
      </c>
      <c r="J54" s="11" t="n">
        <f aca="false">J50-J52-J53</f>
        <v>7359.45299836558</v>
      </c>
      <c r="K54" s="11" t="n">
        <f aca="false">K50-K52-K53</f>
        <v>8172.34726659425</v>
      </c>
      <c r="L54" s="11" t="n">
        <f aca="false">L50-L52-L53</f>
        <v>9012.72193751921</v>
      </c>
      <c r="M54" s="11" t="n">
        <f aca="false">M50-M52-M53</f>
        <v>9656.68492446537</v>
      </c>
    </row>
    <row r="55" customFormat="false" ht="15" hidden="false" customHeight="false" outlineLevel="0" collapsed="false">
      <c r="A55" s="2" t="s">
        <v>617</v>
      </c>
      <c r="B55" s="0" t="s">
        <v>166</v>
      </c>
      <c r="C55" s="11" t="n">
        <f aca="false">fy25_tax</f>
        <v>-2785</v>
      </c>
      <c r="D55" s="11" t="n">
        <f aca="false">ytd_tax+(D54-(ytd_oi-ytd_int-ytd_oth_exp))*etr_26</f>
        <v>229.419471630916</v>
      </c>
      <c r="E55" s="11" t="n">
        <f aca="false">E54*etr_27</f>
        <v>377.033203096892</v>
      </c>
      <c r="F55" s="11" t="n">
        <f aca="false">F54*(etr_27+(etr_30-etr_27)/3)</f>
        <v>563.872470247187</v>
      </c>
      <c r="G55" s="11" t="n">
        <f aca="false">G54*(etr_27+(etr_30-etr_27)*2/3)</f>
        <v>782.033913730454</v>
      </c>
      <c r="H55" s="11" t="n">
        <f aca="false">H54*etr_30</f>
        <v>1017.51224037935</v>
      </c>
      <c r="I55" s="11" t="n">
        <f aca="false">I54*etr_30</f>
        <v>1171.86345937202</v>
      </c>
      <c r="J55" s="11" t="n">
        <f aca="false">J54*etr_30</f>
        <v>1324.7015397058</v>
      </c>
      <c r="K55" s="11" t="n">
        <f aca="false">K54*etr_30</f>
        <v>1471.02250798697</v>
      </c>
      <c r="L55" s="11" t="n">
        <f aca="false">L54*etr_30</f>
        <v>1622.28994875346</v>
      </c>
      <c r="M55" s="11" t="n">
        <f aca="false">M54*etr_30</f>
        <v>1738.20328640377</v>
      </c>
    </row>
    <row r="56" customFormat="false" ht="15" hidden="false" customHeight="false" outlineLevel="0" collapsed="false">
      <c r="A56" s="2" t="s">
        <v>618</v>
      </c>
      <c r="B56" s="0" t="s">
        <v>166</v>
      </c>
      <c r="C56" s="11" t="n">
        <f aca="false">C54-C55</f>
        <v>1895</v>
      </c>
      <c r="D56" s="11" t="n">
        <f aca="false">D54-D55</f>
        <v>1879.62970616908</v>
      </c>
      <c r="E56" s="11" t="n">
        <f aca="false">E54-E55</f>
        <v>2764.91015604388</v>
      </c>
      <c r="F56" s="11" t="n">
        <f aca="false">F54-F55</f>
        <v>3463.78803151844</v>
      </c>
      <c r="G56" s="11" t="n">
        <f aca="false">G54-G55</f>
        <v>4105.67804708488</v>
      </c>
      <c r="H56" s="11" t="n">
        <f aca="false">H54-H55</f>
        <v>4635.33353950595</v>
      </c>
      <c r="I56" s="11" t="n">
        <f aca="false">I54-I55</f>
        <v>5338.48909269475</v>
      </c>
      <c r="J56" s="11" t="n">
        <f aca="false">J54-J55</f>
        <v>6034.75145865977</v>
      </c>
      <c r="K56" s="11" t="n">
        <f aca="false">K54-K55</f>
        <v>6701.32475860729</v>
      </c>
      <c r="L56" s="11" t="n">
        <f aca="false">L54-L55</f>
        <v>7390.43198876576</v>
      </c>
      <c r="M56" s="11" t="n">
        <f aca="false">M54-M55</f>
        <v>7918.48163806161</v>
      </c>
    </row>
    <row r="57" customFormat="false" ht="15" hidden="false" customHeight="false" outlineLevel="0" collapsed="false">
      <c r="A57" s="2" t="s">
        <v>619</v>
      </c>
      <c r="B57" s="0" t="s">
        <v>47</v>
      </c>
      <c r="C57" s="10" t="n">
        <f aca="false">C56/C43</f>
        <v>0.0932486959944887</v>
      </c>
      <c r="D57" s="10" t="n">
        <f aca="false">D56/D43</f>
        <v>0.0624632750570446</v>
      </c>
      <c r="E57" s="10" t="n">
        <f aca="false">E56/E43</f>
        <v>0.072271049259077</v>
      </c>
      <c r="F57" s="10" t="n">
        <f aca="false">F56/F43</f>
        <v>0.0740385872077978</v>
      </c>
      <c r="G57" s="10" t="n">
        <f aca="false">G56/G43</f>
        <v>0.0739207943428979</v>
      </c>
      <c r="H57" s="10" t="n">
        <f aca="false">H56/H43</f>
        <v>0.07247384721056</v>
      </c>
      <c r="I57" s="10" t="n">
        <f aca="false">I56/I43</f>
        <v>0.0734916923879481</v>
      </c>
      <c r="J57" s="10" t="n">
        <f aca="false">J56/J43</f>
        <v>0.0742126203268387</v>
      </c>
      <c r="K57" s="10" t="n">
        <f aca="false">K56/K43</f>
        <v>0.0747048434992061</v>
      </c>
      <c r="L57" s="10" t="n">
        <f aca="false">L56/L43</f>
        <v>0.0758043127143319</v>
      </c>
      <c r="M57" s="10" t="n">
        <f aca="false">M56/M43</f>
        <v>0.0758693207997378</v>
      </c>
    </row>
    <row r="58" customFormat="false" ht="15" hidden="false" customHeight="false" outlineLevel="0" collapsed="false">
      <c r="A58" s="2" t="s">
        <v>620</v>
      </c>
      <c r="B58" s="0" t="s">
        <v>25</v>
      </c>
      <c r="D58" s="14" t="n">
        <f aca="false">D56/sh_fx</f>
        <v>1.66781695312252</v>
      </c>
      <c r="E58" s="14" t="n">
        <f aca="false">E56/sh_fx</f>
        <v>2.45333642949767</v>
      </c>
      <c r="F58" s="14" t="n">
        <f aca="false">F56/sh_fx</f>
        <v>3.07345876798442</v>
      </c>
      <c r="G58" s="14" t="n">
        <f aca="false">G56/sh_fx</f>
        <v>3.64301512607354</v>
      </c>
      <c r="H58" s="14" t="n">
        <f aca="false">H56/sh_fx</f>
        <v>4.11298450710377</v>
      </c>
      <c r="I58" s="14" t="n">
        <f aca="false">I56/sh_fx</f>
        <v>4.73690247799002</v>
      </c>
      <c r="J58" s="14" t="n">
        <f aca="false">J56/sh_fx</f>
        <v>5.354704044951</v>
      </c>
      <c r="K58" s="14" t="n">
        <f aca="false">K56/sh_fx</f>
        <v>5.94616216380416</v>
      </c>
      <c r="L58" s="14" t="n">
        <f aca="false">L56/sh_fx</f>
        <v>6.55761489686402</v>
      </c>
      <c r="M58" s="14" t="n">
        <f aca="false">M56/sh_fx</f>
        <v>7.02615939490826</v>
      </c>
    </row>
    <row r="59" customFormat="false" ht="15" hidden="false" customHeight="false" outlineLevel="0" collapsed="false">
      <c r="A59" s="2" t="s">
        <v>621</v>
      </c>
      <c r="B59" s="0" t="s">
        <v>166</v>
      </c>
      <c r="C59" s="11" t="n">
        <f aca="false">fy25_da</f>
        <v>275</v>
      </c>
      <c r="D59" s="11" t="n">
        <f aca="false">ytd_da+da_q4</f>
        <v>266</v>
      </c>
      <c r="E59" s="11" t="n">
        <f aca="false">(ytd_da+da_q4)*(1+infl)</f>
        <v>273.98</v>
      </c>
      <c r="F59" s="11" t="n">
        <f aca="false">(ytd_da+da_q4)*(1+infl)^2+SUM(Thesis!E55:E55)/life</f>
        <v>282.1994</v>
      </c>
      <c r="G59" s="11" t="n">
        <f aca="false">(ytd_da+da_q4)*(1+infl)^3+SUM(Thesis!E55:F55)/life</f>
        <v>298.413753094118</v>
      </c>
      <c r="H59" s="11" t="n">
        <f aca="false">(ytd_da+da_q4)*(1+infl)^4+SUM(Thesis!E55:G55)/life</f>
        <v>315.941002796353</v>
      </c>
      <c r="I59" s="11" t="n">
        <f aca="false">(ytd_da+da_q4)*(1+infl)^5+SUM(Thesis!E55:H55)/life</f>
        <v>333.649908264497</v>
      </c>
      <c r="J59" s="11" t="n">
        <f aca="false">(ytd_da+da_q4)*(1+infl)^6+SUM(Thesis!E55:I55)/life</f>
        <v>351.25864981848</v>
      </c>
      <c r="K59" s="11" t="n">
        <f aca="false">(ytd_da+da_q4)*(1+infl)^7+SUM(Thesis!E55:J55)/life</f>
        <v>368.465727738006</v>
      </c>
      <c r="L59" s="11" t="n">
        <f aca="false">(ytd_da+da_q4)*(1+infl)^8+SUM(Thesis!E55:K55)/life</f>
        <v>384.967193633406</v>
      </c>
      <c r="M59" s="11" t="n">
        <f aca="false">(ytd_da+da_q4)*(1+infl)^9+SUM(Thesis!E55:L55)/life</f>
        <v>400.476336482094</v>
      </c>
    </row>
    <row r="60" customFormat="false" ht="15" hidden="false" customHeight="false" outlineLevel="0" collapsed="false">
      <c r="A60" s="2" t="s">
        <v>505</v>
      </c>
      <c r="B60" s="0" t="s">
        <v>166</v>
      </c>
      <c r="C60" s="11" t="n">
        <f aca="false">fy25_sbc</f>
        <v>99</v>
      </c>
      <c r="D60" s="11" t="n">
        <f aca="false">ytd_sbc+sbc_q4</f>
        <v>103</v>
      </c>
      <c r="E60" s="11" t="n">
        <f aca="false">(ytd_sbc+sbc_q4)*(1+infl)^1</f>
        <v>106.09</v>
      </c>
      <c r="F60" s="11" t="n">
        <f aca="false">(ytd_sbc+sbc_q4)*(1+infl)^2</f>
        <v>109.2727</v>
      </c>
      <c r="G60" s="11" t="n">
        <f aca="false">(ytd_sbc+sbc_q4)*(1+infl)^3</f>
        <v>112.550881</v>
      </c>
      <c r="H60" s="11" t="n">
        <f aca="false">(ytd_sbc+sbc_q4)*(1+infl)^4</f>
        <v>115.92740743</v>
      </c>
      <c r="I60" s="11" t="n">
        <f aca="false">(ytd_sbc+sbc_q4)*(1+infl)^5</f>
        <v>119.4052296529</v>
      </c>
      <c r="J60" s="11" t="n">
        <f aca="false">(ytd_sbc+sbc_q4)*(1+infl)^6</f>
        <v>122.987386542487</v>
      </c>
      <c r="K60" s="11" t="n">
        <f aca="false">(ytd_sbc+sbc_q4)*(1+infl)^7</f>
        <v>126.677008138762</v>
      </c>
      <c r="L60" s="11" t="n">
        <f aca="false">(ytd_sbc+sbc_q4)*(1+infl)^8</f>
        <v>130.477318382925</v>
      </c>
      <c r="M60" s="11" t="n">
        <f aca="false">(ytd_sbc+sbc_q4)*(1+infl)^9</f>
        <v>134.391637934412</v>
      </c>
    </row>
    <row r="61" customFormat="false" ht="15" hidden="false" customHeight="false" outlineLevel="0" collapsed="false">
      <c r="A61" s="2" t="s">
        <v>622</v>
      </c>
      <c r="B61" s="0" t="s">
        <v>166</v>
      </c>
      <c r="C61" s="11" t="n">
        <f aca="false">fy25_warrant</f>
        <v>21</v>
      </c>
      <c r="D61" s="11" t="n">
        <f aca="false">ytd_warrant+warr/4</f>
        <v>21.25</v>
      </c>
      <c r="E61" s="11" t="n">
        <f aca="false">warr</f>
        <v>21</v>
      </c>
      <c r="F61" s="11" t="n">
        <f aca="false">warr</f>
        <v>21</v>
      </c>
      <c r="G61" s="11" t="n">
        <f aca="false">warr</f>
        <v>21</v>
      </c>
      <c r="H61" s="11" t="n">
        <f aca="false">warr</f>
        <v>21</v>
      </c>
      <c r="I61" s="11" t="n">
        <f aca="false">warr</f>
        <v>21</v>
      </c>
      <c r="J61" s="11" t="n">
        <f aca="false">warr</f>
        <v>21</v>
      </c>
      <c r="K61" s="11" t="n">
        <f aca="false">warr</f>
        <v>21</v>
      </c>
      <c r="L61" s="11" t="n">
        <f aca="false">warr</f>
        <v>21</v>
      </c>
      <c r="M61" s="11" t="n">
        <f aca="false">warr</f>
        <v>21</v>
      </c>
    </row>
    <row r="62" customFormat="false" ht="17.15" hidden="false" customHeight="false" outlineLevel="0" collapsed="false">
      <c r="A62" s="2" t="s">
        <v>509</v>
      </c>
      <c r="B62" s="0" t="s">
        <v>166</v>
      </c>
      <c r="C62" s="11" t="n">
        <f aca="false">Q!M19</f>
        <v>2237</v>
      </c>
      <c r="D62" s="11" t="n">
        <f aca="false">D50+D59+D60-D61</f>
        <v>2952.2070528</v>
      </c>
      <c r="E62" s="11" t="n">
        <f aca="false">E50+E59+E60-E61</f>
        <v>3862.045827</v>
      </c>
      <c r="F62" s="11" t="n">
        <f aca="false">F50+F59+F60-F61</f>
        <v>4725.6852175555</v>
      </c>
      <c r="G62" s="11" t="n">
        <f aca="false">G50+G59+G60-G61</f>
        <v>5598.28954966565</v>
      </c>
      <c r="H62" s="11" t="n">
        <f aca="false">H50+H59+H60-H61</f>
        <v>6411.57541419161</v>
      </c>
      <c r="I62" s="11" t="n">
        <f aca="false">I50+I59+I60-I61</f>
        <v>7317.69511474794</v>
      </c>
      <c r="J62" s="11" t="n">
        <f aca="false">J50+J59+J60-J61</f>
        <v>8217.47550413704</v>
      </c>
      <c r="K62" s="11" t="n">
        <f aca="false">K50+K59+K60-K61</f>
        <v>9080.08393783656</v>
      </c>
      <c r="L62" s="11" t="n">
        <f aca="false">L50+L59+L60-L61</f>
        <v>9872.44473486242</v>
      </c>
      <c r="M62" s="11" t="n">
        <f aca="false">M50+M59+M60-M61</f>
        <v>10561.1201013693</v>
      </c>
    </row>
    <row r="63" customFormat="false" ht="17.15" hidden="false" customHeight="false" outlineLevel="0" collapsed="false">
      <c r="A63" s="2" t="s">
        <v>534</v>
      </c>
      <c r="B63" s="0" t="s">
        <v>47</v>
      </c>
      <c r="C63" s="10" t="n">
        <f aca="false">C62/C43</f>
        <v>0.110077748253125</v>
      </c>
      <c r="D63" s="10" t="n">
        <f aca="false">D62/D43</f>
        <v>0.098106834851122</v>
      </c>
      <c r="E63" s="10" t="n">
        <f aca="false">E62/E43</f>
        <v>0.100948706631139</v>
      </c>
      <c r="F63" s="10" t="n">
        <f aca="false">F62/F43</f>
        <v>0.101011682560496</v>
      </c>
      <c r="G63" s="10" t="n">
        <f aca="false">G62/G43</f>
        <v>0.100794559565297</v>
      </c>
      <c r="H63" s="10" t="n">
        <f aca="false">H62/H43</f>
        <v>0.100245545004865</v>
      </c>
      <c r="I63" s="10" t="n">
        <f aca="false">I62/I43</f>
        <v>0.100738203080299</v>
      </c>
      <c r="J63" s="10" t="n">
        <f aca="false">J62/J43</f>
        <v>0.101054764858378</v>
      </c>
      <c r="K63" s="10" t="n">
        <f aca="false">K62/K43</f>
        <v>0.101222709534332</v>
      </c>
      <c r="L63" s="10" t="n">
        <f aca="false">L62/L43</f>
        <v>0.101262536354313</v>
      </c>
      <c r="M63" s="10" t="n">
        <f aca="false">M62/M43</f>
        <v>0.101189223591038</v>
      </c>
    </row>
    <row r="64" customFormat="false" ht="17.15" hidden="false" customHeight="false" outlineLevel="0" collapsed="false">
      <c r="A64" s="2" t="s">
        <v>623</v>
      </c>
      <c r="B64" s="0" t="s">
        <v>47</v>
      </c>
      <c r="C64" s="10" t="n">
        <f aca="false">C41/C62</f>
        <v>0.533303531515422</v>
      </c>
      <c r="D64" s="10" t="n">
        <f aca="false">D41/D62</f>
        <v>0.498820026394593</v>
      </c>
      <c r="E64" s="10" t="n">
        <f aca="false">E41/E62</f>
        <v>0.462860471386115</v>
      </c>
      <c r="F64" s="10" t="n">
        <f aca="false">F41/F62</f>
        <v>0.458716293700436</v>
      </c>
      <c r="G64" s="10" t="n">
        <f aca="false">G41/G62</f>
        <v>0.455828823922699</v>
      </c>
      <c r="H64" s="10" t="n">
        <f aca="false">H41/H62</f>
        <v>0.45441685851177</v>
      </c>
      <c r="I64" s="10" t="n">
        <f aca="false">I41/I62</f>
        <v>0.452407963984315</v>
      </c>
      <c r="J64" s="10" t="n">
        <f aca="false">J41/J62</f>
        <v>0.451199537919288</v>
      </c>
      <c r="K64" s="10" t="n">
        <f aca="false">K41/K62</f>
        <v>0.450655456311215</v>
      </c>
      <c r="L64" s="10" t="n">
        <f aca="false">L41/L62</f>
        <v>0.450678834033587</v>
      </c>
      <c r="M64" s="10" t="n">
        <f aca="false">M41/M62</f>
        <v>0.451202360172477</v>
      </c>
    </row>
    <row r="66" customFormat="false" ht="17.15" hidden="false" customHeight="false" outlineLevel="0" collapsed="false">
      <c r="A66" s="9" t="s">
        <v>578</v>
      </c>
    </row>
    <row r="67" customFormat="false" ht="15" hidden="false" customHeight="false" outlineLevel="0" collapsed="false">
      <c r="A67" s="2" t="s">
        <v>496</v>
      </c>
      <c r="B67" s="0" t="s">
        <v>166</v>
      </c>
      <c r="C67" s="11" t="n">
        <f aca="false">Thesis!C63</f>
        <v>14537</v>
      </c>
      <c r="D67" s="11" t="n">
        <f aca="false">Thesis!D63</f>
        <v>22745.8313001</v>
      </c>
      <c r="E67" s="11" t="n">
        <f aca="false">Thesis!E63</f>
        <v>20880.6731334918</v>
      </c>
      <c r="F67" s="11" t="n">
        <f aca="false">Thesis!F63</f>
        <v>22363.2009259697</v>
      </c>
      <c r="G67" s="11" t="n">
        <f aca="false">Thesis!G63</f>
        <v>24521.2498153258</v>
      </c>
      <c r="H67" s="11" t="n">
        <f aca="false">Thesis!H63</f>
        <v>27512.8422927955</v>
      </c>
      <c r="I67" s="11" t="n">
        <f aca="false">Thesis!I63</f>
        <v>30532.6518628528</v>
      </c>
      <c r="J67" s="11" t="n">
        <f aca="false">Thesis!J63</f>
        <v>33510.1960725182</v>
      </c>
      <c r="K67" s="11" t="n">
        <f aca="false">Thesis!K63</f>
        <v>36367.9455935826</v>
      </c>
      <c r="L67" s="11" t="n">
        <f aca="false">Thesis!L63</f>
        <v>39024.2603397378</v>
      </c>
      <c r="M67" s="11" t="n">
        <f aca="false">Thesis!M63</f>
        <v>41396.9353683939</v>
      </c>
    </row>
    <row r="68" customFormat="false" ht="15" hidden="false" customHeight="false" outlineLevel="0" collapsed="false">
      <c r="A68" s="2" t="s">
        <v>497</v>
      </c>
      <c r="B68" s="0" t="s">
        <v>166</v>
      </c>
      <c r="C68" s="11" t="n">
        <f aca="false">Thesis!C65</f>
        <v>4052</v>
      </c>
      <c r="D68" s="11" t="n">
        <f aca="false">Thesis!D65</f>
        <v>5094.04588766374</v>
      </c>
      <c r="E68" s="11" t="n">
        <f aca="false">Thesis!E65</f>
        <v>4676.33412487531</v>
      </c>
      <c r="F68" s="11" t="n">
        <f aca="false">Thesis!F65</f>
        <v>5008.35384774146</v>
      </c>
      <c r="G68" s="11" t="n">
        <f aca="false">Thesis!G65</f>
        <v>5491.65999404851</v>
      </c>
      <c r="H68" s="11" t="n">
        <f aca="false">Thesis!H65</f>
        <v>6161.64251332243</v>
      </c>
      <c r="I68" s="11" t="n">
        <f aca="false">Thesis!I65</f>
        <v>6837.9443955847</v>
      </c>
      <c r="J68" s="11" t="n">
        <f aca="false">Thesis!J65</f>
        <v>7504.78073304212</v>
      </c>
      <c r="K68" s="11" t="n">
        <f aca="false">Thesis!K65</f>
        <v>8144.78843395596</v>
      </c>
      <c r="L68" s="11" t="n">
        <f aca="false">Thesis!L65</f>
        <v>8739.6837811721</v>
      </c>
      <c r="M68" s="11" t="n">
        <f aca="false">Thesis!M65</f>
        <v>9271.05655506736</v>
      </c>
    </row>
    <row r="69" customFormat="false" ht="15" hidden="false" customHeight="false" outlineLevel="0" collapsed="false">
      <c r="A69" s="2" t="s">
        <v>498</v>
      </c>
      <c r="B69" s="0" t="s">
        <v>166</v>
      </c>
      <c r="C69" s="11" t="n">
        <f aca="false">Q!M8</f>
        <v>1733</v>
      </c>
      <c r="D69" s="11" t="n">
        <f aca="false">Thesis!D76</f>
        <v>2251.88</v>
      </c>
      <c r="E69" s="11" t="n">
        <f aca="false">Thesis!E76</f>
        <v>1309.11403968</v>
      </c>
      <c r="F69" s="11" t="n">
        <f aca="false">Thesis!F76</f>
        <v>1553.25707332992</v>
      </c>
      <c r="G69" s="11" t="n">
        <f aca="false">Thesis!G76</f>
        <v>1869.24937794425</v>
      </c>
      <c r="H69" s="11" t="n">
        <f aca="false">Thesis!H76</f>
        <v>2284.01368226117</v>
      </c>
      <c r="I69" s="11" t="n">
        <f aca="false">Thesis!I76</f>
        <v>2515.75855033432</v>
      </c>
      <c r="J69" s="11" t="n">
        <f aca="false">Thesis!J76</f>
        <v>2740.7067664705</v>
      </c>
      <c r="K69" s="11" t="n">
        <f aca="false">Thesis!K76</f>
        <v>2952.74081413037</v>
      </c>
      <c r="L69" s="11" t="n">
        <f aca="false">Thesis!L76</f>
        <v>3145.58751968971</v>
      </c>
      <c r="M69" s="11" t="n">
        <f aca="false">Thesis!M76</f>
        <v>3313.10489804191</v>
      </c>
    </row>
    <row r="70" customFormat="false" ht="15" hidden="false" customHeight="false" outlineLevel="0" collapsed="false">
      <c r="A70" s="2" t="s">
        <v>609</v>
      </c>
      <c r="B70" s="0" t="s">
        <v>166</v>
      </c>
      <c r="C70" s="11" t="n">
        <f aca="false">Thesis!C71</f>
        <v>1193</v>
      </c>
      <c r="D70" s="11" t="n">
        <f aca="false">Thesis!D71</f>
        <v>1472.62</v>
      </c>
      <c r="E70" s="11" t="n">
        <f aca="false">Thesis!E71</f>
        <v>607.78003968</v>
      </c>
      <c r="F70" s="11" t="n">
        <f aca="false">Thesis!F71</f>
        <v>816.85637332992</v>
      </c>
      <c r="G70" s="11" t="n">
        <f aca="false">Thesis!G71</f>
        <v>1077.61862544425</v>
      </c>
      <c r="H70" s="11" t="n">
        <f aca="false">Thesis!H71</f>
        <v>1413.21985451117</v>
      </c>
      <c r="I70" s="11" t="n">
        <f aca="false">Thesis!I71</f>
        <v>1568.33486574232</v>
      </c>
      <c r="J70" s="11" t="n">
        <f aca="false">Thesis!J71</f>
        <v>1721.27888184951</v>
      </c>
      <c r="K70" s="11" t="n">
        <f aca="false">Thesis!K71</f>
        <v>1868.06954489363</v>
      </c>
      <c r="L70" s="11" t="n">
        <f aca="false">Thesis!L71</f>
        <v>2004.51334445266</v>
      </c>
      <c r="M70" s="11" t="n">
        <f aca="false">Thesis!M71</f>
        <v>2126.38775579539</v>
      </c>
    </row>
    <row r="71" customFormat="false" ht="17.15" hidden="false" customHeight="false" outlineLevel="0" collapsed="false">
      <c r="A71" s="2" t="s">
        <v>610</v>
      </c>
      <c r="B71" s="0" t="s">
        <v>166</v>
      </c>
      <c r="C71" s="11" t="n">
        <f aca="false">C69-C70</f>
        <v>540</v>
      </c>
      <c r="D71" s="11" t="n">
        <f aca="false">D69-D70</f>
        <v>779.26</v>
      </c>
      <c r="E71" s="11" t="n">
        <f aca="false">E69-E70</f>
        <v>701.334</v>
      </c>
      <c r="F71" s="11" t="n">
        <f aca="false">F69-F70</f>
        <v>736.4007</v>
      </c>
      <c r="G71" s="11" t="n">
        <f aca="false">G69-G70</f>
        <v>791.6307525</v>
      </c>
      <c r="H71" s="11" t="n">
        <f aca="false">H69-H70</f>
        <v>870.79382775</v>
      </c>
      <c r="I71" s="11" t="n">
        <f aca="false">I69-I70</f>
        <v>947.423684592</v>
      </c>
      <c r="J71" s="11" t="n">
        <f aca="false">J69-J70</f>
        <v>1019.42788462099</v>
      </c>
      <c r="K71" s="11" t="n">
        <f aca="false">K69-K70</f>
        <v>1084.67126923674</v>
      </c>
      <c r="L71" s="11" t="n">
        <f aca="false">L69-L70</f>
        <v>1141.07417523705</v>
      </c>
      <c r="M71" s="11" t="n">
        <f aca="false">M69-M70</f>
        <v>1186.71714224653</v>
      </c>
    </row>
    <row r="72" customFormat="false" ht="15" hidden="false" customHeight="false" outlineLevel="0" collapsed="false">
      <c r="A72" s="2" t="s">
        <v>499</v>
      </c>
      <c r="B72" s="0" t="s">
        <v>166</v>
      </c>
      <c r="C72" s="11" t="n">
        <f aca="false">Q!M9</f>
        <v>20322</v>
      </c>
      <c r="D72" s="11" t="n">
        <f aca="false">D67+D68+D69</f>
        <v>30091.7571877637</v>
      </c>
      <c r="E72" s="11" t="n">
        <f aca="false">E67+E68+E69</f>
        <v>26866.1212980471</v>
      </c>
      <c r="F72" s="11" t="n">
        <f aca="false">F67+F68+F69</f>
        <v>28924.8118470411</v>
      </c>
      <c r="G72" s="11" t="n">
        <f aca="false">G67+G68+G69</f>
        <v>31882.1591873186</v>
      </c>
      <c r="H72" s="11" t="n">
        <f aca="false">H67+H68+H69</f>
        <v>35958.4984883791</v>
      </c>
      <c r="I72" s="11" t="n">
        <f aca="false">I67+I68+I69</f>
        <v>39886.3548087718</v>
      </c>
      <c r="J72" s="11" t="n">
        <f aca="false">J67+J68+J69</f>
        <v>43755.6835720308</v>
      </c>
      <c r="K72" s="11" t="n">
        <f aca="false">K67+K68+K69</f>
        <v>47465.4748416689</v>
      </c>
      <c r="L72" s="11" t="n">
        <f aca="false">L67+L68+L69</f>
        <v>50909.5316405996</v>
      </c>
      <c r="M72" s="11" t="n">
        <f aca="false">M67+M68+M69</f>
        <v>53981.0968215032</v>
      </c>
    </row>
    <row r="73" customFormat="false" ht="15" hidden="false" customHeight="false" outlineLevel="0" collapsed="false">
      <c r="A73" s="2" t="s">
        <v>611</v>
      </c>
      <c r="B73" s="0" t="s">
        <v>47</v>
      </c>
      <c r="D73" s="10" t="n">
        <f aca="false">D72/C72-1</f>
        <v>0.480747819494328</v>
      </c>
      <c r="E73" s="10" t="n">
        <f aca="false">E72/D72-1</f>
        <v>-0.10719333768346</v>
      </c>
      <c r="F73" s="10" t="n">
        <f aca="false">F72/E72-1</f>
        <v>0.0766277545669991</v>
      </c>
      <c r="G73" s="10" t="n">
        <f aca="false">G72/F72-1</f>
        <v>0.102242578306693</v>
      </c>
      <c r="H73" s="10" t="n">
        <f aca="false">H72/G72-1</f>
        <v>0.12785643773719</v>
      </c>
      <c r="I73" s="10" t="n">
        <f aca="false">I72/H72-1</f>
        <v>0.109233046025602</v>
      </c>
      <c r="J73" s="10" t="n">
        <f aca="false">J72/I72-1</f>
        <v>0.0970088337680852</v>
      </c>
      <c r="K73" s="10" t="n">
        <f aca="false">K72/J72-1</f>
        <v>0.0847842146844988</v>
      </c>
      <c r="L73" s="10" t="n">
        <f aca="false">L72/K72-1</f>
        <v>0.072559198247129</v>
      </c>
      <c r="M73" s="10" t="n">
        <f aca="false">M72/L72-1</f>
        <v>0.0603337937301705</v>
      </c>
    </row>
    <row r="74" customFormat="false" ht="15" hidden="false" customHeight="false" outlineLevel="0" collapsed="false">
      <c r="A74" s="2" t="s">
        <v>500</v>
      </c>
      <c r="B74" s="0" t="s">
        <v>166</v>
      </c>
      <c r="C74" s="11" t="n">
        <f aca="false">Thesis!C74</f>
        <v>1978</v>
      </c>
      <c r="D74" s="11" t="n">
        <f aca="false">Thesis!D74</f>
        <v>2721.4418612</v>
      </c>
      <c r="E74" s="11" t="n">
        <f aca="false">Thesis!E74</f>
        <v>2001.920751</v>
      </c>
      <c r="F74" s="11" t="n">
        <f aca="false">Thesis!F74</f>
        <v>2205.82008675</v>
      </c>
      <c r="G74" s="11" t="n">
        <f aca="false">Thesis!G74</f>
        <v>2482.84513882125</v>
      </c>
      <c r="H74" s="11" t="n">
        <f aca="false">Thesis!H74</f>
        <v>2853.87705282487</v>
      </c>
      <c r="I74" s="11" t="n">
        <f aca="false">Thesis!I74</f>
        <v>3105.01823347346</v>
      </c>
      <c r="J74" s="11" t="n">
        <f aca="false">Thesis!J74</f>
        <v>3340.99961921745</v>
      </c>
      <c r="K74" s="11" t="n">
        <f aca="false">Thesis!K74</f>
        <v>3554.82359484737</v>
      </c>
      <c r="L74" s="11" t="n">
        <f aca="false">Thesis!L74</f>
        <v>3739.67442177943</v>
      </c>
      <c r="M74" s="11" t="n">
        <f aca="false">Thesis!M74</f>
        <v>3889.26139865061</v>
      </c>
    </row>
    <row r="75" customFormat="false" ht="15" hidden="false" customHeight="false" outlineLevel="0" collapsed="false">
      <c r="A75" s="2" t="s">
        <v>501</v>
      </c>
      <c r="B75" s="0" t="s">
        <v>166</v>
      </c>
      <c r="C75" s="11" t="n">
        <f aca="false">Thesis!C75</f>
        <v>481</v>
      </c>
      <c r="D75" s="11" t="n">
        <f aca="false">Thesis!D75</f>
        <v>620.9867516</v>
      </c>
      <c r="E75" s="11" t="n">
        <f aca="false">Thesis!E75</f>
        <v>481.9438845</v>
      </c>
      <c r="F75" s="11" t="n">
        <f aca="false">Thesis!F75</f>
        <v>521.092556964</v>
      </c>
      <c r="G75" s="11" t="n">
        <f aca="false">Thesis!G75</f>
        <v>576.354837843225</v>
      </c>
      <c r="H75" s="11" t="n">
        <f aca="false">Thesis!H75</f>
        <v>651.788694645165</v>
      </c>
      <c r="I75" s="11" t="n">
        <f aca="false">Thesis!I75</f>
        <v>709.14609977394</v>
      </c>
      <c r="J75" s="11" t="n">
        <f aca="false">Thesis!J75</f>
        <v>763.041203356759</v>
      </c>
      <c r="K75" s="11" t="n">
        <f aca="false">Thesis!K75</f>
        <v>811.875840371592</v>
      </c>
      <c r="L75" s="11" t="n">
        <f aca="false">Thesis!L75</f>
        <v>854.093384070915</v>
      </c>
      <c r="M75" s="11" t="n">
        <f aca="false">Thesis!M75</f>
        <v>888.257119433751</v>
      </c>
    </row>
    <row r="76" customFormat="false" ht="15" hidden="false" customHeight="false" outlineLevel="0" collapsed="false">
      <c r="A76" s="2" t="s">
        <v>612</v>
      </c>
      <c r="B76" s="0" t="s">
        <v>166</v>
      </c>
      <c r="C76" s="11" t="n">
        <f aca="false">C69</f>
        <v>1733</v>
      </c>
      <c r="D76" s="11" t="n">
        <f aca="false">D69</f>
        <v>2251.88</v>
      </c>
      <c r="E76" s="11" t="n">
        <f aca="false">E69</f>
        <v>1309.11403968</v>
      </c>
      <c r="F76" s="11" t="n">
        <f aca="false">F69</f>
        <v>1553.25707332992</v>
      </c>
      <c r="G76" s="11" t="n">
        <f aca="false">G69</f>
        <v>1869.24937794425</v>
      </c>
      <c r="H76" s="11" t="n">
        <f aca="false">H69</f>
        <v>2284.01368226117</v>
      </c>
      <c r="I76" s="11" t="n">
        <f aca="false">I69</f>
        <v>2515.75855033432</v>
      </c>
      <c r="J76" s="11" t="n">
        <f aca="false">J69</f>
        <v>2740.7067664705</v>
      </c>
      <c r="K76" s="11" t="n">
        <f aca="false">K69</f>
        <v>2952.74081413037</v>
      </c>
      <c r="L76" s="11" t="n">
        <f aca="false">L69</f>
        <v>3145.58751968971</v>
      </c>
      <c r="M76" s="11" t="n">
        <f aca="false">M69</f>
        <v>3313.10489804191</v>
      </c>
    </row>
    <row r="77" customFormat="false" ht="15" hidden="false" customHeight="false" outlineLevel="0" collapsed="false">
      <c r="A77" s="2" t="s">
        <v>525</v>
      </c>
      <c r="B77" s="0" t="s">
        <v>166</v>
      </c>
      <c r="C77" s="11" t="n">
        <f aca="false">C74+C75+C76</f>
        <v>4192</v>
      </c>
      <c r="D77" s="11" t="n">
        <f aca="false">D74+D75+D76</f>
        <v>5594.3086128</v>
      </c>
      <c r="E77" s="11" t="n">
        <f aca="false">E74+E75+E76</f>
        <v>3792.97867518</v>
      </c>
      <c r="F77" s="11" t="n">
        <f aca="false">F74+F75+F76</f>
        <v>4280.16971704392</v>
      </c>
      <c r="G77" s="11" t="n">
        <f aca="false">G74+G75+G76</f>
        <v>4928.44935460872</v>
      </c>
      <c r="H77" s="11" t="n">
        <f aca="false">H74+H75+H76</f>
        <v>5789.67942973121</v>
      </c>
      <c r="I77" s="11" t="n">
        <f aca="false">I74+I75+I76</f>
        <v>6329.92288358172</v>
      </c>
      <c r="J77" s="11" t="n">
        <f aca="false">J74+J75+J76</f>
        <v>6844.74758904471</v>
      </c>
      <c r="K77" s="11" t="n">
        <f aca="false">K74+K75+K76</f>
        <v>7319.44024934933</v>
      </c>
      <c r="L77" s="11" t="n">
        <f aca="false">L74+L75+L76</f>
        <v>7739.35532554005</v>
      </c>
      <c r="M77" s="11" t="n">
        <f aca="false">M74+M75+M76</f>
        <v>8090.62341612627</v>
      </c>
    </row>
    <row r="78" customFormat="false" ht="15" hidden="false" customHeight="false" outlineLevel="0" collapsed="false">
      <c r="A78" s="0" t="s">
        <v>502</v>
      </c>
      <c r="B78" s="0" t="s">
        <v>166</v>
      </c>
      <c r="C78" s="11" t="n">
        <f aca="false">Thesis!C78</f>
        <v>2308</v>
      </c>
      <c r="D78" s="11" t="n">
        <f aca="false">Thesis!D78</f>
        <v>2989.85156</v>
      </c>
      <c r="E78" s="11" t="n">
        <f aca="false">Thesis!E78</f>
        <v>2776.465964</v>
      </c>
      <c r="F78" s="11" t="n">
        <f aca="false">Thesis!F78</f>
        <v>2901.2812622</v>
      </c>
      <c r="G78" s="11" t="n">
        <f aca="false">Thesis!G78</f>
        <v>3086.413816865</v>
      </c>
      <c r="H78" s="11" t="n">
        <f aca="false">Thesis!H78</f>
        <v>3343.0413933515</v>
      </c>
      <c r="I78" s="11" t="n">
        <f aca="false">Thesis!I78</f>
        <v>3592.83896850003</v>
      </c>
      <c r="J78" s="11" t="n">
        <f aca="false">Thesis!J78</f>
        <v>3829.63263706193</v>
      </c>
      <c r="K78" s="11" t="n">
        <f aca="false">Thesis!K78</f>
        <v>4047.12263673815</v>
      </c>
      <c r="L78" s="11" t="n">
        <f aca="false">Thesis!L78</f>
        <v>4239.17410082177</v>
      </c>
      <c r="M78" s="11" t="n">
        <f aca="false">Thesis!M78</f>
        <v>4400.12702830121</v>
      </c>
    </row>
    <row r="79" customFormat="false" ht="15" hidden="false" customHeight="false" outlineLevel="0" collapsed="false">
      <c r="A79" s="2" t="s">
        <v>503</v>
      </c>
      <c r="B79" s="0" t="s">
        <v>166</v>
      </c>
      <c r="C79" s="11" t="n">
        <f aca="false">fy25_oi</f>
        <v>1881</v>
      </c>
      <c r="D79" s="11" t="n">
        <f aca="false">D77-D78</f>
        <v>2604.4570528</v>
      </c>
      <c r="E79" s="11" t="n">
        <f aca="false">E77-E78</f>
        <v>1016.51271118</v>
      </c>
      <c r="F79" s="11" t="n">
        <f aca="false">F77-F78</f>
        <v>1378.88845484392</v>
      </c>
      <c r="G79" s="11" t="n">
        <f aca="false">G77-G78</f>
        <v>1842.03553774372</v>
      </c>
      <c r="H79" s="11" t="n">
        <f aca="false">H77-H78</f>
        <v>2446.63803637971</v>
      </c>
      <c r="I79" s="11" t="n">
        <f aca="false">I77-I78</f>
        <v>2737.08391508169</v>
      </c>
      <c r="J79" s="11" t="n">
        <f aca="false">J77-J78</f>
        <v>3015.11495198278</v>
      </c>
      <c r="K79" s="11" t="n">
        <f aca="false">K77-K78</f>
        <v>3272.31761261118</v>
      </c>
      <c r="L79" s="11" t="n">
        <f aca="false">L77-L78</f>
        <v>3500.18122471828</v>
      </c>
      <c r="M79" s="11" t="n">
        <f aca="false">M77-M78</f>
        <v>3690.49638782506</v>
      </c>
    </row>
    <row r="80" customFormat="false" ht="15" hidden="false" customHeight="false" outlineLevel="0" collapsed="false">
      <c r="A80" s="2" t="s">
        <v>613</v>
      </c>
      <c r="B80" s="0" t="s">
        <v>47</v>
      </c>
      <c r="C80" s="10" t="n">
        <f aca="false">C79/C72</f>
        <v>0.0925597874224978</v>
      </c>
      <c r="D80" s="10" t="n">
        <f aca="false">D79/D72</f>
        <v>0.0865505140344232</v>
      </c>
      <c r="E80" s="10" t="n">
        <f aca="false">E79/E72</f>
        <v>0.0378362287545352</v>
      </c>
      <c r="F80" s="10" t="n">
        <f aca="false">F79/F72</f>
        <v>0.0476714753456547</v>
      </c>
      <c r="G80" s="10" t="n">
        <f aca="false">G79/G72</f>
        <v>0.0577763735172745</v>
      </c>
      <c r="H80" s="10" t="n">
        <f aca="false">H79/H72</f>
        <v>0.0680406062330551</v>
      </c>
      <c r="I80" s="10" t="n">
        <f aca="false">I79/I72</f>
        <v>0.0686220620611776</v>
      </c>
      <c r="J80" s="10" t="n">
        <f aca="false">J79/J72</f>
        <v>0.0689079613399087</v>
      </c>
      <c r="K80" s="10" t="n">
        <f aca="false">K79/K72</f>
        <v>0.0689410065637537</v>
      </c>
      <c r="L80" s="10" t="n">
        <f aca="false">L79/L72</f>
        <v>0.0687529645612952</v>
      </c>
      <c r="M80" s="10" t="n">
        <f aca="false">M79/M72</f>
        <v>0.0683664579848805</v>
      </c>
    </row>
    <row r="81" customFormat="false" ht="17.15" hidden="false" customHeight="false" outlineLevel="0" collapsed="false">
      <c r="A81" s="2" t="s">
        <v>614</v>
      </c>
      <c r="B81" s="0" t="s">
        <v>166</v>
      </c>
      <c r="C81" s="0" t="n">
        <f aca="false">fy25_int</f>
        <v>505</v>
      </c>
      <c r="D81" s="11" t="n">
        <f aca="false">CF!D123</f>
        <v>390.407875</v>
      </c>
      <c r="E81" s="11" t="n">
        <f aca="false">CF!E123</f>
        <v>335.413576659232</v>
      </c>
      <c r="F81" s="11" t="n">
        <f aca="false">CF!F123</f>
        <v>321.784328334305</v>
      </c>
      <c r="G81" s="11" t="n">
        <f aca="false">CF!G123</f>
        <v>298.863317743109</v>
      </c>
      <c r="H81" s="11" t="n">
        <f aca="false">CF!H123</f>
        <v>308.419557463736</v>
      </c>
      <c r="I81" s="11" t="n">
        <f aca="false">CF!I123</f>
        <v>318.530182031356</v>
      </c>
      <c r="J81" s="11" t="n">
        <f aca="false">CF!J123</f>
        <v>330.619900849393</v>
      </c>
      <c r="K81" s="11" t="n">
        <f aca="false">CF!K123</f>
        <v>342.933862333634</v>
      </c>
      <c r="L81" s="11" t="n">
        <f aca="false">CF!L123</f>
        <v>259.033409711549</v>
      </c>
      <c r="M81" s="11" t="n">
        <f aca="false">CF!M123</f>
        <v>270.380250249145</v>
      </c>
    </row>
    <row r="82" customFormat="false" ht="15" hidden="false" customHeight="false" outlineLevel="0" collapsed="false">
      <c r="A82" s="2" t="s">
        <v>615</v>
      </c>
      <c r="B82" s="0" t="s">
        <v>166</v>
      </c>
      <c r="C82" s="11" t="n">
        <f aca="false">Q!M21</f>
        <v>2266</v>
      </c>
      <c r="D82" s="11" t="n">
        <f aca="false">ytd_oth_exp</f>
        <v>105</v>
      </c>
      <c r="E82" s="11" t="n">
        <f aca="false">0</f>
        <v>0</v>
      </c>
      <c r="F82" s="11" t="n">
        <f aca="false">0</f>
        <v>0</v>
      </c>
      <c r="G82" s="11" t="n">
        <f aca="false">0</f>
        <v>0</v>
      </c>
      <c r="H82" s="11" t="n">
        <f aca="false">0</f>
        <v>0</v>
      </c>
      <c r="I82" s="11" t="n">
        <f aca="false">0</f>
        <v>0</v>
      </c>
      <c r="J82" s="11" t="n">
        <f aca="false">0</f>
        <v>0</v>
      </c>
      <c r="K82" s="11" t="n">
        <f aca="false">0</f>
        <v>0</v>
      </c>
      <c r="L82" s="11" t="n">
        <f aca="false">0</f>
        <v>0</v>
      </c>
      <c r="M82" s="11" t="n">
        <f aca="false">0</f>
        <v>0</v>
      </c>
    </row>
    <row r="83" customFormat="false" ht="15" hidden="false" customHeight="false" outlineLevel="0" collapsed="false">
      <c r="A83" s="2" t="s">
        <v>616</v>
      </c>
      <c r="B83" s="0" t="s">
        <v>166</v>
      </c>
      <c r="C83" s="11" t="n">
        <f aca="false">C79-C81-C82</f>
        <v>-890</v>
      </c>
      <c r="D83" s="11" t="n">
        <f aca="false">D79-D81-D82</f>
        <v>2109.0491778</v>
      </c>
      <c r="E83" s="11" t="n">
        <f aca="false">E79-E81-E82</f>
        <v>681.099134520768</v>
      </c>
      <c r="F83" s="11" t="n">
        <f aca="false">F79-F81-F82</f>
        <v>1057.10412650962</v>
      </c>
      <c r="G83" s="11" t="n">
        <f aca="false">G79-G81-G82</f>
        <v>1543.17222000061</v>
      </c>
      <c r="H83" s="11" t="n">
        <f aca="false">H79-H81-H82</f>
        <v>2138.21847891597</v>
      </c>
      <c r="I83" s="11" t="n">
        <f aca="false">I79-I81-I82</f>
        <v>2418.55373305033</v>
      </c>
      <c r="J83" s="11" t="n">
        <f aca="false">J79-J81-J82</f>
        <v>2684.49505113338</v>
      </c>
      <c r="K83" s="11" t="n">
        <f aca="false">K79-K81-K82</f>
        <v>2929.38375027755</v>
      </c>
      <c r="L83" s="11" t="n">
        <f aca="false">L79-L81-L82</f>
        <v>3241.14781500673</v>
      </c>
      <c r="M83" s="11" t="n">
        <f aca="false">M79-M81-M82</f>
        <v>3420.11613757592</v>
      </c>
    </row>
    <row r="84" customFormat="false" ht="15" hidden="false" customHeight="false" outlineLevel="0" collapsed="false">
      <c r="A84" s="2" t="s">
        <v>617</v>
      </c>
      <c r="B84" s="0" t="s">
        <v>166</v>
      </c>
      <c r="C84" s="11" t="n">
        <f aca="false">fy25_tax</f>
        <v>-2785</v>
      </c>
      <c r="D84" s="11" t="n">
        <f aca="false">ytd_tax+(D83-(ytd_oi-ytd_int-ytd_oth_exp))*etr_26</f>
        <v>229.419471630916</v>
      </c>
      <c r="E84" s="11" t="n">
        <f aca="false">E83*etr_27</f>
        <v>81.7318961424922</v>
      </c>
      <c r="F84" s="11" t="n">
        <f aca="false">F83*(etr_27+(etr_30-etr_27)/3)</f>
        <v>147.994577711346</v>
      </c>
      <c r="G84" s="11" t="n">
        <f aca="false">G83*(etr_27+(etr_30-etr_27)*2/3)</f>
        <v>246.907555200098</v>
      </c>
      <c r="H84" s="11" t="n">
        <f aca="false">H83*etr_30</f>
        <v>384.879326204875</v>
      </c>
      <c r="I84" s="11" t="n">
        <f aca="false">I83*etr_30</f>
        <v>435.33967194906</v>
      </c>
      <c r="J84" s="11" t="n">
        <f aca="false">J83*etr_30</f>
        <v>483.209109204009</v>
      </c>
      <c r="K84" s="11" t="n">
        <f aca="false">K83*etr_30</f>
        <v>527.289075049959</v>
      </c>
      <c r="L84" s="11" t="n">
        <f aca="false">L83*etr_30</f>
        <v>583.406606701212</v>
      </c>
      <c r="M84" s="11" t="n">
        <f aca="false">M83*etr_30</f>
        <v>615.620904763665</v>
      </c>
    </row>
    <row r="85" customFormat="false" ht="15" hidden="false" customHeight="false" outlineLevel="0" collapsed="false">
      <c r="A85" s="2" t="s">
        <v>618</v>
      </c>
      <c r="B85" s="0" t="s">
        <v>166</v>
      </c>
      <c r="C85" s="11" t="n">
        <f aca="false">C83-C84</f>
        <v>1895</v>
      </c>
      <c r="D85" s="11" t="n">
        <f aca="false">D83-D84</f>
        <v>1879.62970616908</v>
      </c>
      <c r="E85" s="11" t="n">
        <f aca="false">E83-E84</f>
        <v>599.367238378276</v>
      </c>
      <c r="F85" s="11" t="n">
        <f aca="false">F83-F84</f>
        <v>909.10954879827</v>
      </c>
      <c r="G85" s="11" t="n">
        <f aca="false">G83-G84</f>
        <v>1296.26466480051</v>
      </c>
      <c r="H85" s="11" t="n">
        <f aca="false">H83-H84</f>
        <v>1753.3391527111</v>
      </c>
      <c r="I85" s="11" t="n">
        <f aca="false">I83-I84</f>
        <v>1983.21406110127</v>
      </c>
      <c r="J85" s="11" t="n">
        <f aca="false">J83-J84</f>
        <v>2201.28594192937</v>
      </c>
      <c r="K85" s="11" t="n">
        <f aca="false">K83-K84</f>
        <v>2402.09467522759</v>
      </c>
      <c r="L85" s="11" t="n">
        <f aca="false">L83-L84</f>
        <v>2657.74120830552</v>
      </c>
      <c r="M85" s="11" t="n">
        <f aca="false">M83-M84</f>
        <v>2804.49523281225</v>
      </c>
    </row>
    <row r="86" customFormat="false" ht="15" hidden="false" customHeight="false" outlineLevel="0" collapsed="false">
      <c r="A86" s="2" t="s">
        <v>619</v>
      </c>
      <c r="B86" s="0" t="s">
        <v>47</v>
      </c>
      <c r="C86" s="10" t="n">
        <f aca="false">C85/C72</f>
        <v>0.0932486959944887</v>
      </c>
      <c r="D86" s="10" t="n">
        <f aca="false">D85/D72</f>
        <v>0.0624632750570446</v>
      </c>
      <c r="E86" s="10" t="n">
        <f aca="false">E85/E72</f>
        <v>0.0223094071425131</v>
      </c>
      <c r="F86" s="10" t="n">
        <f aca="false">F85/F72</f>
        <v>0.0314300937757446</v>
      </c>
      <c r="G86" s="10" t="n">
        <f aca="false">G85/G72</f>
        <v>0.0406579948737009</v>
      </c>
      <c r="H86" s="10" t="n">
        <f aca="false">H85/H72</f>
        <v>0.0487600769336276</v>
      </c>
      <c r="I86" s="10" t="n">
        <f aca="false">I85/I72</f>
        <v>0.0497216170946041</v>
      </c>
      <c r="J86" s="10" t="n">
        <f aca="false">J85/J72</f>
        <v>0.0503085716465978</v>
      </c>
      <c r="K86" s="10" t="n">
        <f aca="false">K85/K72</f>
        <v>0.0506071978262154</v>
      </c>
      <c r="L86" s="10" t="n">
        <f aca="false">L85/L72</f>
        <v>0.0522051789253942</v>
      </c>
      <c r="M86" s="10" t="n">
        <f aca="false">M85/M72</f>
        <v>0.0519532836112195</v>
      </c>
    </row>
    <row r="87" customFormat="false" ht="15" hidden="false" customHeight="false" outlineLevel="0" collapsed="false">
      <c r="A87" s="2" t="s">
        <v>620</v>
      </c>
      <c r="B87" s="0" t="s">
        <v>25</v>
      </c>
      <c r="D87" s="14" t="n">
        <f aca="false">D85/sh_fx</f>
        <v>1.66781695312252</v>
      </c>
      <c r="E87" s="14" t="n">
        <f aca="false">E85/sh_fx</f>
        <v>0.531825411160849</v>
      </c>
      <c r="F87" s="14" t="n">
        <f aca="false">F85/sh_fx</f>
        <v>0.806663308605386</v>
      </c>
      <c r="G87" s="14" t="n">
        <f aca="false">G85/sh_fx</f>
        <v>1.15019047453462</v>
      </c>
      <c r="H87" s="14" t="n">
        <f aca="false">H85/sh_fx</f>
        <v>1.55575789947746</v>
      </c>
      <c r="I87" s="14" t="n">
        <f aca="false">I85/sh_fx</f>
        <v>1.75972853691329</v>
      </c>
      <c r="J87" s="14" t="n">
        <f aca="false">J85/sh_fx</f>
        <v>1.95322621289208</v>
      </c>
      <c r="K87" s="14" t="n">
        <f aca="false">K85/sh_fx</f>
        <v>2.13140610046814</v>
      </c>
      <c r="L87" s="14" t="n">
        <f aca="false">L85/sh_fx</f>
        <v>2.35824419547961</v>
      </c>
      <c r="M87" s="14" t="n">
        <f aca="false">M85/sh_fx</f>
        <v>2.48846072121762</v>
      </c>
    </row>
    <row r="88" customFormat="false" ht="15" hidden="false" customHeight="false" outlineLevel="0" collapsed="false">
      <c r="A88" s="2" t="s">
        <v>621</v>
      </c>
      <c r="B88" s="0" t="s">
        <v>166</v>
      </c>
      <c r="C88" s="11" t="n">
        <f aca="false">fy25_da</f>
        <v>275</v>
      </c>
      <c r="D88" s="11" t="n">
        <f aca="false">ytd_da+da_q4</f>
        <v>266</v>
      </c>
      <c r="E88" s="11" t="n">
        <f aca="false">(ytd_da+da_q4)*(1+infl)</f>
        <v>273.98</v>
      </c>
      <c r="F88" s="11" t="n">
        <f aca="false">(ytd_da+da_q4)*(1+infl)^2+SUM(Thesis!E82:E82)/life</f>
        <v>282.1994</v>
      </c>
      <c r="G88" s="11" t="n">
        <f aca="false">(ytd_da+da_q4)*(1+infl)^3+SUM(Thesis!E82:F82)/life</f>
        <v>290.665382</v>
      </c>
      <c r="H88" s="11" t="n">
        <f aca="false">(ytd_da+da_q4)*(1+infl)^4+SUM(Thesis!E82:G82)/life</f>
        <v>299.38534346</v>
      </c>
      <c r="I88" s="11" t="n">
        <f aca="false">(ytd_da+da_q4)*(1+infl)^5+SUM(Thesis!E82:H82)/life</f>
        <v>308.3669037638</v>
      </c>
      <c r="J88" s="11" t="n">
        <f aca="false">(ytd_da+da_q4)*(1+infl)^6+SUM(Thesis!E82:I82)/life</f>
        <v>317.617910876714</v>
      </c>
      <c r="K88" s="11" t="n">
        <f aca="false">(ytd_da+da_q4)*(1+infl)^7+SUM(Thesis!E82:J82)/life</f>
        <v>327.146448203016</v>
      </c>
      <c r="L88" s="11" t="n">
        <f aca="false">(ytd_da+da_q4)*(1+infl)^8+SUM(Thesis!E82:K82)/life</f>
        <v>336.960841649106</v>
      </c>
      <c r="M88" s="11" t="n">
        <f aca="false">(ytd_da+da_q4)*(1+infl)^9+SUM(Thesis!E82:L82)/life</f>
        <v>347.069666898579</v>
      </c>
    </row>
    <row r="89" customFormat="false" ht="15" hidden="false" customHeight="false" outlineLevel="0" collapsed="false">
      <c r="A89" s="2" t="s">
        <v>505</v>
      </c>
      <c r="B89" s="0" t="s">
        <v>166</v>
      </c>
      <c r="C89" s="11" t="n">
        <f aca="false">fy25_sbc</f>
        <v>99</v>
      </c>
      <c r="D89" s="11" t="n">
        <f aca="false">ytd_sbc+sbc_q4</f>
        <v>103</v>
      </c>
      <c r="E89" s="11" t="n">
        <f aca="false">(ytd_sbc+sbc_q4)*(1+infl)^1</f>
        <v>106.09</v>
      </c>
      <c r="F89" s="11" t="n">
        <f aca="false">(ytd_sbc+sbc_q4)*(1+infl)^2</f>
        <v>109.2727</v>
      </c>
      <c r="G89" s="11" t="n">
        <f aca="false">(ytd_sbc+sbc_q4)*(1+infl)^3</f>
        <v>112.550881</v>
      </c>
      <c r="H89" s="11" t="n">
        <f aca="false">(ytd_sbc+sbc_q4)*(1+infl)^4</f>
        <v>115.92740743</v>
      </c>
      <c r="I89" s="11" t="n">
        <f aca="false">(ytd_sbc+sbc_q4)*(1+infl)^5</f>
        <v>119.4052296529</v>
      </c>
      <c r="J89" s="11" t="n">
        <f aca="false">(ytd_sbc+sbc_q4)*(1+infl)^6</f>
        <v>122.987386542487</v>
      </c>
      <c r="K89" s="11" t="n">
        <f aca="false">(ytd_sbc+sbc_q4)*(1+infl)^7</f>
        <v>126.677008138762</v>
      </c>
      <c r="L89" s="11" t="n">
        <f aca="false">(ytd_sbc+sbc_q4)*(1+infl)^8</f>
        <v>130.477318382925</v>
      </c>
      <c r="M89" s="11" t="n">
        <f aca="false">(ytd_sbc+sbc_q4)*(1+infl)^9</f>
        <v>134.391637934412</v>
      </c>
    </row>
    <row r="90" customFormat="false" ht="15" hidden="false" customHeight="false" outlineLevel="0" collapsed="false">
      <c r="A90" s="2" t="s">
        <v>622</v>
      </c>
      <c r="B90" s="0" t="s">
        <v>166</v>
      </c>
      <c r="C90" s="11" t="n">
        <f aca="false">fy25_warrant</f>
        <v>21</v>
      </c>
      <c r="D90" s="11" t="n">
        <f aca="false">ytd_warrant+warr/4</f>
        <v>21.25</v>
      </c>
      <c r="E90" s="11" t="n">
        <f aca="false">warr</f>
        <v>21</v>
      </c>
      <c r="F90" s="11" t="n">
        <f aca="false">warr</f>
        <v>21</v>
      </c>
      <c r="G90" s="11" t="n">
        <f aca="false">warr</f>
        <v>21</v>
      </c>
      <c r="H90" s="11" t="n">
        <f aca="false">warr</f>
        <v>21</v>
      </c>
      <c r="I90" s="11" t="n">
        <f aca="false">warr</f>
        <v>21</v>
      </c>
      <c r="J90" s="11" t="n">
        <f aca="false">warr</f>
        <v>21</v>
      </c>
      <c r="K90" s="11" t="n">
        <f aca="false">warr</f>
        <v>21</v>
      </c>
      <c r="L90" s="11" t="n">
        <f aca="false">warr</f>
        <v>21</v>
      </c>
      <c r="M90" s="11" t="n">
        <f aca="false">warr</f>
        <v>21</v>
      </c>
    </row>
    <row r="91" customFormat="false" ht="17.15" hidden="false" customHeight="false" outlineLevel="0" collapsed="false">
      <c r="A91" s="2" t="s">
        <v>509</v>
      </c>
      <c r="B91" s="0" t="s">
        <v>166</v>
      </c>
      <c r="C91" s="11" t="n">
        <f aca="false">Q!M19</f>
        <v>2237</v>
      </c>
      <c r="D91" s="11" t="n">
        <f aca="false">D79+D88+D89-D90</f>
        <v>2952.2070528</v>
      </c>
      <c r="E91" s="11" t="n">
        <f aca="false">E79+E88+E89-E90</f>
        <v>1375.58271118</v>
      </c>
      <c r="F91" s="11" t="n">
        <f aca="false">F79+F88+F89-F90</f>
        <v>1749.36055484392</v>
      </c>
      <c r="G91" s="11" t="n">
        <f aca="false">G79+G88+G89-G90</f>
        <v>2224.25180074372</v>
      </c>
      <c r="H91" s="11" t="n">
        <f aca="false">H79+H88+H89-H90</f>
        <v>2840.95078726971</v>
      </c>
      <c r="I91" s="11" t="n">
        <f aca="false">I79+I88+I89-I90</f>
        <v>3143.85604849839</v>
      </c>
      <c r="J91" s="11" t="n">
        <f aca="false">J79+J88+J89-J90</f>
        <v>3434.72024940198</v>
      </c>
      <c r="K91" s="11" t="n">
        <f aca="false">K79+K88+K89-K90</f>
        <v>3705.14106895296</v>
      </c>
      <c r="L91" s="11" t="n">
        <f aca="false">L79+L88+L89-L90</f>
        <v>3946.61938475031</v>
      </c>
      <c r="M91" s="11" t="n">
        <f aca="false">M79+M88+M89-M90</f>
        <v>4150.95769265806</v>
      </c>
    </row>
    <row r="92" customFormat="false" ht="17.15" hidden="false" customHeight="false" outlineLevel="0" collapsed="false">
      <c r="A92" s="2" t="s">
        <v>534</v>
      </c>
      <c r="B92" s="0" t="s">
        <v>47</v>
      </c>
      <c r="C92" s="10" t="n">
        <f aca="false">C91/C72</f>
        <v>0.110077748253125</v>
      </c>
      <c r="D92" s="10" t="n">
        <f aca="false">D91/D72</f>
        <v>0.098106834851122</v>
      </c>
      <c r="E92" s="10" t="n">
        <f aca="false">E91/E72</f>
        <v>0.0512013883924506</v>
      </c>
      <c r="F92" s="10" t="n">
        <f aca="false">F91/F72</f>
        <v>0.0604795828610679</v>
      </c>
      <c r="G92" s="10" t="n">
        <f aca="false">G91/G72</f>
        <v>0.069764779344946</v>
      </c>
      <c r="H92" s="10" t="n">
        <f aca="false">H91/H72</f>
        <v>0.0790063797627099</v>
      </c>
      <c r="I92" s="10" t="n">
        <f aca="false">I91/I72</f>
        <v>0.0788203400278381</v>
      </c>
      <c r="J92" s="10" t="n">
        <f aca="false">J91/J72</f>
        <v>0.0784976937624052</v>
      </c>
      <c r="K92" s="10" t="n">
        <f aca="false">K91/K72</f>
        <v>0.0780597072148175</v>
      </c>
      <c r="L92" s="10" t="n">
        <f aca="false">L91/L72</f>
        <v>0.0775222096445872</v>
      </c>
      <c r="M92" s="10" t="n">
        <f aca="false">M91/M72</f>
        <v>0.0768965052041058</v>
      </c>
    </row>
    <row r="93" customFormat="false" ht="17.15" hidden="false" customHeight="false" outlineLevel="0" collapsed="false">
      <c r="A93" s="2" t="s">
        <v>623</v>
      </c>
      <c r="B93" s="0" t="s">
        <v>47</v>
      </c>
      <c r="C93" s="10" t="n">
        <f aca="false">C70/C91</f>
        <v>0.533303531515422</v>
      </c>
      <c r="D93" s="10" t="n">
        <f aca="false">D70/D91</f>
        <v>0.498820026394593</v>
      </c>
      <c r="E93" s="10" t="n">
        <f aca="false">E70/E91</f>
        <v>0.441834601976522</v>
      </c>
      <c r="F93" s="10" t="n">
        <f aca="false">F70/F91</f>
        <v>0.466945691137297</v>
      </c>
      <c r="G93" s="10" t="n">
        <f aca="false">G70/G91</f>
        <v>0.48448589547457</v>
      </c>
      <c r="H93" s="10" t="n">
        <f aca="false">H70/H91</f>
        <v>0.497446087712537</v>
      </c>
      <c r="I93" s="10" t="n">
        <f aca="false">I70/I91</f>
        <v>0.498857085549895</v>
      </c>
      <c r="J93" s="10" t="n">
        <f aca="false">J70/J91</f>
        <v>0.501140924693707</v>
      </c>
      <c r="K93" s="10" t="n">
        <f aca="false">K70/K91</f>
        <v>0.50418310939549</v>
      </c>
      <c r="L93" s="10" t="n">
        <f aca="false">L70/L91</f>
        <v>0.507906425483562</v>
      </c>
      <c r="M93" s="10" t="n">
        <f aca="false">M70/M91</f>
        <v>0.512264376858479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624</v>
      </c>
    </row>
    <row r="2" customFormat="false" ht="17.15" hidden="false" customHeight="false" outlineLevel="0" collapsed="false">
      <c r="A2" s="2" t="s">
        <v>625</v>
      </c>
    </row>
    <row r="3" customFormat="false" ht="17.15" hidden="false" customHeight="false" outlineLevel="0" collapsed="false">
      <c r="A3" s="4" t="s">
        <v>626</v>
      </c>
      <c r="B3" s="4" t="s">
        <v>15</v>
      </c>
      <c r="C3" s="4" t="s">
        <v>627</v>
      </c>
      <c r="D3" s="4" t="s">
        <v>628</v>
      </c>
      <c r="E3" s="4" t="s">
        <v>629</v>
      </c>
    </row>
    <row r="4" customFormat="false" ht="17.15" hidden="false" customHeight="false" outlineLevel="0" collapsed="false">
      <c r="A4" s="2" t="s">
        <v>630</v>
      </c>
      <c r="C4" s="11" t="n">
        <f aca="false">SUM(E30:I30)</f>
        <v>23175.1874652982</v>
      </c>
      <c r="D4" s="11" t="n">
        <f aca="false">SUM(E68:I68)</f>
        <v>16038.4701441184</v>
      </c>
      <c r="E4" s="11" t="n">
        <f aca="false">SUM(E106:I106)</f>
        <v>5947.17881280374</v>
      </c>
    </row>
    <row r="5" customFormat="false" ht="17.15" hidden="false" customHeight="false" outlineLevel="0" collapsed="false">
      <c r="A5" s="2" t="s">
        <v>631</v>
      </c>
      <c r="C5" s="11" t="n">
        <f aca="false">SUM(E32:I32)</f>
        <v>0</v>
      </c>
      <c r="D5" s="11" t="n">
        <f aca="false">SUM(E70:I70)</f>
        <v>0</v>
      </c>
      <c r="E5" s="11" t="n">
        <f aca="false">SUM(E108:I108)</f>
        <v>0</v>
      </c>
    </row>
    <row r="6" customFormat="false" ht="17.15" hidden="false" customHeight="false" outlineLevel="0" collapsed="false">
      <c r="A6" s="0" t="s">
        <v>632</v>
      </c>
      <c r="C6" s="11" t="n">
        <f aca="false">MIN(E34:I34)</f>
        <v>5000</v>
      </c>
      <c r="D6" s="11" t="n">
        <f aca="false">MIN(E72:I72)</f>
        <v>5000</v>
      </c>
      <c r="E6" s="11" t="n">
        <f aca="false">MIN(E110:I110)</f>
        <v>4225.36818235584</v>
      </c>
    </row>
    <row r="7" customFormat="false" ht="17.15" hidden="false" customHeight="false" outlineLevel="0" collapsed="false">
      <c r="A7" s="0" t="s">
        <v>633</v>
      </c>
      <c r="C7" s="11" t="n">
        <f aca="false">SUM(E33:I33)</f>
        <v>22029.4328256411</v>
      </c>
      <c r="D7" s="11" t="n">
        <f aca="false">SUM(E71:I71)</f>
        <v>14892.7155044612</v>
      </c>
      <c r="E7" s="11" t="n">
        <f aca="false">SUM(E109:I109)</f>
        <v>4801.42417314661</v>
      </c>
    </row>
    <row r="9" customFormat="false" ht="17.15" hidden="false" customHeight="false" outlineLevel="0" collapsed="false">
      <c r="A9" s="2" t="s">
        <v>634</v>
      </c>
      <c r="B9" s="0" t="s">
        <v>166</v>
      </c>
      <c r="C9" s="0" t="n">
        <f aca="false">4*(int_lq-tlb*(ssn_r-swap_fix-tlb_sp)*1.5/12)-tlb*(swap_fix+tlb_sp)-ssn_31*ssn_r-uns*uns_r-re_fin*re_r-bi_adv*lq_bi*bi_r-fleet*fleet_r-finls*finls_r-fp_ratio*lq_inv*fp_r+lq_cash*cash_y</f>
        <v>71.7616</v>
      </c>
    </row>
    <row r="12" customFormat="false" ht="17.15" hidden="false" customHeight="false" outlineLevel="0" collapsed="false">
      <c r="A12" s="9" t="s">
        <v>553</v>
      </c>
    </row>
    <row r="13" customFormat="false" ht="15" hidden="false" customHeight="false" outlineLevel="0" collapsed="false">
      <c r="A13" s="4" t="s">
        <v>14</v>
      </c>
      <c r="B13" s="4" t="s">
        <v>15</v>
      </c>
      <c r="C13" s="8" t="s">
        <v>554</v>
      </c>
      <c r="D13" s="8" t="s">
        <v>555</v>
      </c>
      <c r="E13" s="8" t="s">
        <v>556</v>
      </c>
      <c r="F13" s="8" t="s">
        <v>557</v>
      </c>
      <c r="G13" s="8" t="s">
        <v>558</v>
      </c>
      <c r="H13" s="8" t="s">
        <v>559</v>
      </c>
      <c r="I13" s="8" t="s">
        <v>560</v>
      </c>
      <c r="J13" s="8" t="s">
        <v>561</v>
      </c>
      <c r="K13" s="8" t="s">
        <v>562</v>
      </c>
      <c r="L13" s="8" t="s">
        <v>563</v>
      </c>
      <c r="M13" s="8" t="s">
        <v>564</v>
      </c>
    </row>
    <row r="14" customFormat="false" ht="15" hidden="false" customHeight="false" outlineLevel="0" collapsed="false">
      <c r="A14" s="2" t="s">
        <v>518</v>
      </c>
      <c r="B14" s="0" t="s">
        <v>166</v>
      </c>
      <c r="C14" s="11" t="n">
        <f aca="false">d25_inv</f>
        <v>2408</v>
      </c>
      <c r="D14" s="11" t="n">
        <f aca="false">inv_d*(PL!D9-PL!D16)/365</f>
        <v>3291.68045570959</v>
      </c>
      <c r="E14" s="11" t="n">
        <f aca="false">inv_d*(PL!E9-PL!E16)/365</f>
        <v>4390.70466017337</v>
      </c>
      <c r="F14" s="11" t="n">
        <f aca="false">inv_d*(PL!F9-PL!F16)/365</f>
        <v>5741.35148512517</v>
      </c>
      <c r="G14" s="11" t="n">
        <f aca="false">inv_d*(PL!G9-PL!G16)/365</f>
        <v>7272.82138761967</v>
      </c>
      <c r="H14" s="11" t="n">
        <f aca="false">inv_d*(PL!H9-PL!H16)/365</f>
        <v>8915.55239717192</v>
      </c>
      <c r="I14" s="11" t="n">
        <f aca="false">inv_d*(PL!I9-PL!I16)/365</f>
        <v>10724.0129485948</v>
      </c>
      <c r="J14" s="11" t="n">
        <f aca="false">inv_d*(PL!J9-PL!J16)/365</f>
        <v>12635.277401901</v>
      </c>
      <c r="K14" s="11" t="n">
        <f aca="false">inv_d*(PL!K9-PL!K16)/365</f>
        <v>13815.5333448654</v>
      </c>
      <c r="L14" s="11" t="n">
        <f aca="false">inv_d*(PL!L9-PL!L16)/365</f>
        <v>14128.3371624476</v>
      </c>
      <c r="M14" s="11" t="n">
        <f aca="false">inv_d*(PL!M9-PL!M16)/365</f>
        <v>14447.3970563815</v>
      </c>
    </row>
    <row r="15" customFormat="false" ht="15" hidden="false" customHeight="false" outlineLevel="0" collapsed="false">
      <c r="A15" s="2" t="s">
        <v>519</v>
      </c>
      <c r="B15" s="0" t="s">
        <v>166</v>
      </c>
      <c r="C15" s="11" t="n">
        <f aca="false">d25_frhfs</f>
        <v>813</v>
      </c>
      <c r="D15" s="11" t="n">
        <f aca="false">fr_d*Thesis!D15/365</f>
        <v>853.595178082192</v>
      </c>
      <c r="E15" s="11" t="n">
        <f aca="false">fr_d*Thesis!E15/365</f>
        <v>1149.28054776986</v>
      </c>
      <c r="F15" s="11" t="n">
        <f aca="false">fr_d*Thesis!F15/365</f>
        <v>1500.50068316833</v>
      </c>
      <c r="G15" s="11" t="n">
        <f aca="false">fr_d*Thesis!G15/365</f>
        <v>1897.83326407131</v>
      </c>
      <c r="H15" s="11" t="n">
        <f aca="false">fr_d*Thesis!H15/365</f>
        <v>2322.94791522328</v>
      </c>
      <c r="I15" s="11" t="n">
        <f aca="false">fr_d*Thesis!I15/365</f>
        <v>2786.42248326863</v>
      </c>
      <c r="J15" s="11" t="n">
        <f aca="false">fr_d*Thesis!J15/365</f>
        <v>3274.15787473997</v>
      </c>
      <c r="K15" s="11" t="n">
        <f aca="false">fr_d*Thesis!K15/365</f>
        <v>3570.53917560582</v>
      </c>
      <c r="L15" s="11" t="n">
        <f aca="false">fr_d*Thesis!L15/365</f>
        <v>3641.94995911794</v>
      </c>
      <c r="M15" s="11" t="n">
        <f aca="false">fr_d*Thesis!M15/365</f>
        <v>3714.7889583003</v>
      </c>
    </row>
    <row r="16" customFormat="false" ht="15" hidden="false" customHeight="false" outlineLevel="0" collapsed="false">
      <c r="A16" s="2" t="s">
        <v>635</v>
      </c>
      <c r="B16" s="0" t="s">
        <v>166</v>
      </c>
      <c r="C16" s="6" t="n">
        <v>1100</v>
      </c>
      <c r="D16" s="11" t="n">
        <f aca="false">ap_pct*(PL!D14-PL!D19+PL!D20)</f>
        <v>1484.31420728804</v>
      </c>
      <c r="E16" s="11" t="n">
        <f aca="false">ap_pct*(PL!E14-PL!E19+PL!E20)</f>
        <v>1968.44954501864</v>
      </c>
      <c r="F16" s="11" t="n">
        <f aca="false">ap_pct*(PL!F14-PL!F19+PL!F20)</f>
        <v>2553.34736498451</v>
      </c>
      <c r="G16" s="11" t="n">
        <f aca="false">ap_pct*(PL!G14-PL!G19+PL!G20)</f>
        <v>3213.03513203487</v>
      </c>
      <c r="H16" s="11" t="n">
        <f aca="false">ap_pct*(PL!H14-PL!H19+PL!H20)</f>
        <v>3916.73729400407</v>
      </c>
      <c r="I16" s="11" t="n">
        <f aca="false">ap_pct*(PL!I14-PL!I19+PL!I20)</f>
        <v>4686.49236630575</v>
      </c>
      <c r="J16" s="11" t="n">
        <f aca="false">ap_pct*(PL!J14-PL!J19+PL!J20)</f>
        <v>5495.78357505621</v>
      </c>
      <c r="K16" s="11" t="n">
        <f aca="false">ap_pct*(PL!K14-PL!K19+PL!K20)</f>
        <v>5986.00602663405</v>
      </c>
      <c r="L16" s="11" t="n">
        <f aca="false">ap_pct*(PL!L14-PL!L19+PL!L20)</f>
        <v>6102.13462593048</v>
      </c>
      <c r="M16" s="11" t="n">
        <f aca="false">ap_pct*(PL!M14-PL!M19+PL!M20)</f>
        <v>6221.14909703093</v>
      </c>
    </row>
    <row r="17" customFormat="false" ht="15" hidden="false" customHeight="false" outlineLevel="0" collapsed="false">
      <c r="A17" s="2" t="s">
        <v>636</v>
      </c>
      <c r="B17" s="0" t="s">
        <v>166</v>
      </c>
      <c r="C17" s="11" t="n">
        <f aca="false">d25_bi</f>
        <v>486</v>
      </c>
      <c r="D17" s="11" t="n">
        <f aca="false">lq_bi*Thesis!D15/Thesis!D15</f>
        <v>557</v>
      </c>
      <c r="E17" s="11" t="n">
        <f aca="false">lq_bi*Thesis!E15/Thesis!D15</f>
        <v>749.9448</v>
      </c>
      <c r="F17" s="11" t="n">
        <f aca="false">lq_bi*Thesis!F15/Thesis!D15</f>
        <v>979.12793088</v>
      </c>
      <c r="G17" s="11" t="n">
        <f aca="false">lq_bi*Thesis!G15/Thesis!D15</f>
        <v>1238.40100697702</v>
      </c>
      <c r="H17" s="11" t="n">
        <f aca="false">lq_bi*Thesis!H15/Thesis!D15</f>
        <v>1515.80283253988</v>
      </c>
      <c r="I17" s="11" t="n">
        <f aca="false">lq_bi*Thesis!I15/Thesis!D15</f>
        <v>1818.23581368823</v>
      </c>
      <c r="J17" s="11" t="n">
        <f aca="false">lq_bi*Thesis!J15/Thesis!D15</f>
        <v>2136.49981051622</v>
      </c>
      <c r="K17" s="11" t="n">
        <f aca="false">lq_bi*Thesis!K15/Thesis!D15</f>
        <v>2329.8987293728</v>
      </c>
      <c r="L17" s="11" t="n">
        <f aca="false">lq_bi*Thesis!L15/Thesis!D15</f>
        <v>2376.49670396025</v>
      </c>
      <c r="M17" s="11" t="n">
        <f aca="false">lq_bi*Thesis!M15/Thesis!D15</f>
        <v>2424.02663803946</v>
      </c>
    </row>
    <row r="18" customFormat="false" ht="15" hidden="false" customHeight="false" outlineLevel="0" collapsed="false">
      <c r="A18" s="2" t="s">
        <v>637</v>
      </c>
      <c r="B18" s="0" t="s">
        <v>166</v>
      </c>
      <c r="D18" s="11" t="n">
        <f aca="false">PL!D27</f>
        <v>1879.62970616908</v>
      </c>
      <c r="E18" s="11" t="n">
        <f aca="false">PL!E27</f>
        <v>3335.85581735012</v>
      </c>
      <c r="F18" s="11" t="n">
        <f aca="false">PL!F27</f>
        <v>4614.25377908585</v>
      </c>
      <c r="G18" s="11" t="n">
        <f aca="false">PL!G27</f>
        <v>5997.21505584247</v>
      </c>
      <c r="H18" s="11" t="n">
        <f aca="false">PL!H27</f>
        <v>7402.24579853526</v>
      </c>
      <c r="I18" s="11" t="n">
        <f aca="false">PL!I27</f>
        <v>9041.87469333079</v>
      </c>
      <c r="J18" s="11" t="n">
        <f aca="false">PL!J27</f>
        <v>10766.3387867729</v>
      </c>
      <c r="K18" s="11" t="n">
        <f aca="false">PL!K27</f>
        <v>11807.6782510379</v>
      </c>
      <c r="L18" s="11" t="n">
        <f aca="false">PL!L27</f>
        <v>12125.6917324181</v>
      </c>
      <c r="M18" s="11" t="n">
        <f aca="false">PL!M27</f>
        <v>12368.1517437423</v>
      </c>
    </row>
    <row r="19" customFormat="false" ht="17.15" hidden="false" customHeight="false" outlineLevel="0" collapsed="false">
      <c r="A19" s="2" t="s">
        <v>638</v>
      </c>
      <c r="B19" s="0" t="s">
        <v>166</v>
      </c>
      <c r="D19" s="11" t="n">
        <f aca="false">PL!D30+PL!D31</f>
        <v>369</v>
      </c>
      <c r="E19" s="11" t="n">
        <f aca="false">PL!E30+PL!E31</f>
        <v>380.07</v>
      </c>
      <c r="F19" s="11" t="n">
        <f aca="false">PL!F30+PL!F31</f>
        <v>396.975761116235</v>
      </c>
      <c r="G19" s="11" t="n">
        <f aca="false">PL!G30+PL!G31</f>
        <v>424.440802784132</v>
      </c>
      <c r="H19" s="11" t="n">
        <f aca="false">PL!H30+PL!H31</f>
        <v>452.782198630958</v>
      </c>
      <c r="I19" s="11" t="n">
        <f aca="false">PL!I30+PL!I31</f>
        <v>482.396203960067</v>
      </c>
      <c r="J19" s="11" t="n">
        <f aca="false">PL!J30+PL!J31</f>
        <v>512.65222668516</v>
      </c>
      <c r="K19" s="11" t="n">
        <f aca="false">PL!K30+PL!K31</f>
        <v>534.999926930012</v>
      </c>
      <c r="L19" s="11" t="n">
        <f aca="false">PL!L30+PL!L31</f>
        <v>548.614630620266</v>
      </c>
      <c r="M19" s="11" t="n">
        <f aca="false">PL!M30+PL!M31</f>
        <v>562.637775421227</v>
      </c>
    </row>
    <row r="20" customFormat="false" ht="15" hidden="false" customHeight="false" outlineLevel="0" collapsed="false">
      <c r="A20" s="2" t="s">
        <v>639</v>
      </c>
      <c r="B20" s="0" t="s">
        <v>166</v>
      </c>
      <c r="D20" s="11" t="n">
        <f aca="false">PL!D26-MAX(0,PL!D25)*ctr</f>
        <v>166.147996296916</v>
      </c>
      <c r="E20" s="11" t="n">
        <f aca="false">PL!E26-MAX(0,PL!E25)*ctr</f>
        <v>341.167072228989</v>
      </c>
      <c r="F20" s="11" t="n">
        <f aca="false">PL!F26-MAX(0,PL!F25)*ctr</f>
        <v>590.195250813306</v>
      </c>
      <c r="G20" s="11" t="n">
        <f aca="false">0</f>
        <v>0</v>
      </c>
      <c r="H20" s="11" t="n">
        <f aca="false">0</f>
        <v>0</v>
      </c>
      <c r="I20" s="11" t="n">
        <f aca="false">0</f>
        <v>0</v>
      </c>
      <c r="J20" s="11" t="n">
        <f aca="false">0</f>
        <v>0</v>
      </c>
      <c r="K20" s="11" t="n">
        <f aca="false">0</f>
        <v>0</v>
      </c>
      <c r="L20" s="11" t="n">
        <f aca="false">0</f>
        <v>0</v>
      </c>
      <c r="M20" s="11" t="n">
        <f aca="false">0</f>
        <v>0</v>
      </c>
    </row>
    <row r="21" customFormat="false" ht="15" hidden="false" customHeight="false" outlineLevel="0" collapsed="false">
      <c r="A21" s="2" t="s">
        <v>640</v>
      </c>
      <c r="B21" s="0" t="s">
        <v>166</v>
      </c>
      <c r="D21" s="11" t="n">
        <f aca="false">-((D14-C14)+(D15-C15)-(D16-C16))</f>
        <v>-539.961426503739</v>
      </c>
      <c r="E21" s="11" t="n">
        <f aca="false">-((E14-D14)+(E15-D15)-(E16-D16))</f>
        <v>-910.574236420847</v>
      </c>
      <c r="F21" s="11" t="n">
        <f aca="false">-((F14-E14)+(F15-E15)-(F16-E16))</f>
        <v>-1116.96914038441</v>
      </c>
      <c r="G21" s="11" t="n">
        <f aca="false">-((G14-F14)+(G15-F15)-(G16-F16))</f>
        <v>-1269.11471634711</v>
      </c>
      <c r="H21" s="11" t="n">
        <f aca="false">-((H14-G14)+(H15-G15)-(H16-G16))</f>
        <v>-1364.14349873503</v>
      </c>
      <c r="I21" s="11" t="n">
        <f aca="false">-((I14-H14)+(I15-H15)-(I16-H16))</f>
        <v>-1502.1800471665</v>
      </c>
      <c r="J21" s="11" t="n">
        <f aca="false">-((J14-I14)+(J15-I15)-(J16-I16))</f>
        <v>-1589.70863602714</v>
      </c>
      <c r="K21" s="11" t="n">
        <f aca="false">-((K14-J14)+(K15-J15)-(K16-J16))</f>
        <v>-986.41479225238</v>
      </c>
      <c r="L21" s="11" t="n">
        <f aca="false">-((L14-K14)+(L15-K15)-(L16-K16))</f>
        <v>-268.086001797929</v>
      </c>
      <c r="M21" s="11" t="n">
        <f aca="false">-((M14-L14)+(M15-L15)-(M16-L16))</f>
        <v>-272.884422015798</v>
      </c>
    </row>
    <row r="22" customFormat="false" ht="17.15" hidden="false" customHeight="false" outlineLevel="0" collapsed="false">
      <c r="A22" s="2" t="s">
        <v>641</v>
      </c>
      <c r="B22" s="0" t="s">
        <v>166</v>
      </c>
      <c r="D22" s="11" t="n">
        <f aca="false">-(D17-C17)*(1-bi_adv)</f>
        <v>-16.5709156193896</v>
      </c>
      <c r="E22" s="11" t="n">
        <f aca="false">-(E17-D17)*(1-bi_adv)</f>
        <v>-45.032</v>
      </c>
      <c r="F22" s="11" t="n">
        <f aca="false">-(F17-E17)*(1-bi_adv)</f>
        <v>-53.4897792</v>
      </c>
      <c r="G22" s="11" t="n">
        <f aca="false">-(G17-F17)*(1-bi_adv)</f>
        <v>-60.51256713216</v>
      </c>
      <c r="H22" s="11" t="n">
        <f aca="false">-(H17-G17)*(1-bi_adv)</f>
        <v>-64.7436935784038</v>
      </c>
      <c r="I22" s="11" t="n">
        <f aca="false">-(I17-H17)*(1-bi_adv)</f>
        <v>-70.5857945229557</v>
      </c>
      <c r="J22" s="11" t="n">
        <f aca="false">-(J17-I17)*(1-bi_adv)</f>
        <v>-74.2806455792433</v>
      </c>
      <c r="K22" s="11" t="n">
        <f aca="false">-(K17-J17)*(1-bi_adv)</f>
        <v>-45.1379882430062</v>
      </c>
      <c r="L22" s="11" t="n">
        <f aca="false">-(L17-K17)*(1-bi_adv)</f>
        <v>-10.8756493651154</v>
      </c>
      <c r="M22" s="11" t="n">
        <f aca="false">-(M17-L17)*(1-bi_adv)</f>
        <v>-11.0931623524176</v>
      </c>
    </row>
    <row r="23" customFormat="false" ht="15" hidden="false" customHeight="false" outlineLevel="0" collapsed="false">
      <c r="A23" s="2" t="s">
        <v>642</v>
      </c>
      <c r="B23" s="0" t="s">
        <v>166</v>
      </c>
      <c r="D23" s="11" t="n">
        <f aca="false">D18+D19+D20+D21+D22</f>
        <v>1858.24536034287</v>
      </c>
      <c r="E23" s="11" t="n">
        <f aca="false">E18+E19+E20+E21+E22</f>
        <v>3101.48665315826</v>
      </c>
      <c r="F23" s="11" t="n">
        <f aca="false">F18+F19+F20+F21+F22</f>
        <v>4430.96587143098</v>
      </c>
      <c r="G23" s="11" t="n">
        <f aca="false">G18+G19+G20+G21+G22</f>
        <v>5092.02857514733</v>
      </c>
      <c r="H23" s="11" t="n">
        <f aca="false">H18+H19+H20+H21+H22</f>
        <v>6426.14080485279</v>
      </c>
      <c r="I23" s="11" t="n">
        <f aca="false">I18+I19+I20+I21+I22</f>
        <v>7951.5050556014</v>
      </c>
      <c r="J23" s="11" t="n">
        <f aca="false">J18+J19+J20+J21+J22</f>
        <v>9615.00173185164</v>
      </c>
      <c r="K23" s="11" t="n">
        <f aca="false">K18+K19+K20+K21+K22</f>
        <v>11311.1253974725</v>
      </c>
      <c r="L23" s="11" t="n">
        <f aca="false">L18+L19+L20+L21+L22</f>
        <v>12395.3447118753</v>
      </c>
      <c r="M23" s="11" t="n">
        <f aca="false">M18+M19+M20+M21+M22</f>
        <v>12646.8119347953</v>
      </c>
    </row>
    <row r="24" customFormat="false" ht="15" hidden="false" customHeight="false" outlineLevel="0" collapsed="false">
      <c r="A24" s="2" t="s">
        <v>643</v>
      </c>
      <c r="B24" s="0" t="s">
        <v>166</v>
      </c>
      <c r="D24" s="11" t="n">
        <f aca="false">ytd_capex+capex_q4</f>
        <v>236</v>
      </c>
      <c r="E24" s="11" t="n">
        <f aca="false">PL!E14*mcx+Thesis!E28</f>
        <v>285.603270969955</v>
      </c>
      <c r="F24" s="11" t="n">
        <f aca="false">PL!F14*mcx+Thesis!F28</f>
        <v>500.781447526868</v>
      </c>
      <c r="G24" s="11" t="n">
        <f aca="false">PL!G14*mcx+Thesis!G28</f>
        <v>578.642221022742</v>
      </c>
      <c r="H24" s="11" t="n">
        <f aca="false">PL!H14*mcx+Thesis!H28</f>
        <v>667.12499479147</v>
      </c>
      <c r="I24" s="11" t="n">
        <f aca="false">PL!I14*mcx+Thesis!I28</f>
        <v>752.682560581504</v>
      </c>
      <c r="J24" s="11" t="n">
        <f aca="false">PL!J14*mcx+Thesis!J28</f>
        <v>714.021479947202</v>
      </c>
      <c r="K24" s="11" t="n">
        <f aca="false">PL!K14*mcx+Thesis!K28</f>
        <v>629.032523955515</v>
      </c>
      <c r="L24" s="11" t="n">
        <f aca="false">PL!L14*mcx+Thesis!L28</f>
        <v>641.329406688216</v>
      </c>
      <c r="M24" s="11" t="n">
        <f aca="false">PL!M14*mcx+Thesis!M28</f>
        <v>653.872227075572</v>
      </c>
    </row>
    <row r="25" customFormat="false" ht="15" hidden="false" customHeight="false" outlineLevel="0" collapsed="false">
      <c r="A25" s="2" t="s">
        <v>644</v>
      </c>
      <c r="B25" s="0" t="s">
        <v>166</v>
      </c>
      <c r="D25" s="11" t="n">
        <f aca="false">D23-D24</f>
        <v>1622.24536034287</v>
      </c>
      <c r="E25" s="11" t="n">
        <f aca="false">E23-E24</f>
        <v>2815.8833821883</v>
      </c>
      <c r="F25" s="11" t="n">
        <f aca="false">F23-F24</f>
        <v>3930.18442390411</v>
      </c>
      <c r="G25" s="11" t="n">
        <f aca="false">G23-G24</f>
        <v>4513.38635412459</v>
      </c>
      <c r="H25" s="11" t="n">
        <f aca="false">H23-H24</f>
        <v>5759.01581006132</v>
      </c>
      <c r="I25" s="11" t="n">
        <f aca="false">I23-I24</f>
        <v>7198.82249501989</v>
      </c>
      <c r="J25" s="11" t="n">
        <f aca="false">J23-J24</f>
        <v>8900.98025190443</v>
      </c>
      <c r="K25" s="11" t="n">
        <f aca="false">K23-K24</f>
        <v>10682.092873517</v>
      </c>
      <c r="L25" s="11" t="n">
        <f aca="false">L23-L24</f>
        <v>11754.0153051871</v>
      </c>
      <c r="M25" s="11" t="n">
        <f aca="false">M23-M24</f>
        <v>11992.9397077198</v>
      </c>
    </row>
    <row r="26" customFormat="false" ht="17.15" hidden="false" customHeight="false" outlineLevel="0" collapsed="false">
      <c r="A26" s="0" t="s">
        <v>645</v>
      </c>
      <c r="B26" s="0" t="s">
        <v>166</v>
      </c>
      <c r="D26" s="11" t="n">
        <f aca="false">37+tra_q4</f>
        <v>37</v>
      </c>
      <c r="E26" s="11" t="n">
        <f aca="false">MIN(tra_0-tra_q4,tra_0/tra_yrs)</f>
        <v>142</v>
      </c>
      <c r="F26" s="11" t="n">
        <f aca="false">MIN(tra_0-tra_q4-SUM(E26:E26),tra_0/tra_yrs)</f>
        <v>142</v>
      </c>
      <c r="G26" s="11" t="n">
        <f aca="false">MIN(tra_0-tra_q4-SUM(E26:F26),tra_0/tra_yrs)</f>
        <v>142</v>
      </c>
      <c r="H26" s="11" t="n">
        <f aca="false">MIN(tra_0-tra_q4-SUM(E26:G26),tra_0/tra_yrs)</f>
        <v>142</v>
      </c>
      <c r="I26" s="11" t="n">
        <f aca="false">MIN(tra_0-tra_q4-SUM(E26:H26),tra_0/tra_yrs)</f>
        <v>142</v>
      </c>
      <c r="J26" s="11" t="n">
        <f aca="false">MIN(tra_0-tra_q4-SUM(E26:I26),tra_0/tra_yrs)</f>
        <v>142</v>
      </c>
      <c r="K26" s="11" t="n">
        <f aca="false">MIN(tra_0-tra_q4-SUM(E26:J26),tra_0/tra_yrs)</f>
        <v>142</v>
      </c>
      <c r="L26" s="11" t="n">
        <f aca="false">MIN(tra_0-tra_q4-SUM(E26:K26),tra_0/tra_yrs)</f>
        <v>142</v>
      </c>
      <c r="M26" s="11" t="n">
        <f aca="false">MIN(tra_0-tra_q4-SUM(E26:L26),tra_0/tra_yrs)</f>
        <v>142</v>
      </c>
    </row>
    <row r="27" customFormat="false" ht="15" hidden="false" customHeight="false" outlineLevel="0" collapsed="false">
      <c r="A27" s="2" t="s">
        <v>259</v>
      </c>
      <c r="B27" s="0" t="s">
        <v>166</v>
      </c>
      <c r="D27" s="11" t="n">
        <f aca="false">ncitax</f>
        <v>8</v>
      </c>
      <c r="E27" s="11" t="n">
        <f aca="false">ncitax</f>
        <v>8</v>
      </c>
      <c r="F27" s="11" t="n">
        <f aca="false">ncitax</f>
        <v>8</v>
      </c>
      <c r="G27" s="11" t="n">
        <f aca="false">ncitax</f>
        <v>8</v>
      </c>
      <c r="H27" s="11" t="n">
        <f aca="false">ncitax</f>
        <v>8</v>
      </c>
      <c r="I27" s="11" t="n">
        <f aca="false">ncitax</f>
        <v>8</v>
      </c>
      <c r="J27" s="11" t="n">
        <f aca="false">ncitax</f>
        <v>8</v>
      </c>
      <c r="K27" s="11" t="n">
        <f aca="false">ncitax</f>
        <v>8</v>
      </c>
      <c r="L27" s="11" t="n">
        <f aca="false">ncitax</f>
        <v>8</v>
      </c>
      <c r="M27" s="11" t="n">
        <f aca="false">ncitax</f>
        <v>8</v>
      </c>
    </row>
    <row r="28" customFormat="false" ht="15" hidden="false" customHeight="false" outlineLevel="0" collapsed="false">
      <c r="A28" s="2" t="s">
        <v>646</v>
      </c>
      <c r="B28" s="0" t="s">
        <v>166</v>
      </c>
      <c r="D28" s="11" t="n">
        <f aca="false">0</f>
        <v>0</v>
      </c>
      <c r="E28" s="11" t="n">
        <f aca="false">tlb*0.01+32</f>
        <v>48.6</v>
      </c>
      <c r="F28" s="11" t="n">
        <f aca="false">tlb*0.01+22</f>
        <v>38.6</v>
      </c>
      <c r="G28" s="11" t="n">
        <f aca="false">tlb*0.01+26</f>
        <v>42.6</v>
      </c>
      <c r="H28" s="11" t="n">
        <f aca="false">tlb*0.01+27</f>
        <v>43.6</v>
      </c>
      <c r="I28" s="11" t="n">
        <f aca="false">tlb*0.01</f>
        <v>16.6</v>
      </c>
      <c r="J28" s="11" t="n">
        <f aca="false">tlb*0.01</f>
        <v>16.6</v>
      </c>
      <c r="K28" s="11" t="n">
        <f aca="false">tlb-tlb*0.01*6</f>
        <v>1560.4</v>
      </c>
      <c r="L28" s="11" t="n">
        <f aca="false">0</f>
        <v>0</v>
      </c>
      <c r="M28" s="11" t="n">
        <f aca="false">0</f>
        <v>0</v>
      </c>
    </row>
    <row r="29" customFormat="false" ht="15" hidden="false" customHeight="false" outlineLevel="0" collapsed="false">
      <c r="A29" s="2" t="s">
        <v>647</v>
      </c>
      <c r="B29" s="0" t="s">
        <v>166</v>
      </c>
      <c r="D29" s="11" t="n">
        <f aca="false">redeem_cost</f>
        <v>50</v>
      </c>
      <c r="E29" s="11" t="n">
        <f aca="false">IF(2027=refi_yr,ssn_31*refi_prem,0)</f>
        <v>0</v>
      </c>
      <c r="F29" s="11" t="n">
        <f aca="false">IF(2028=refi_yr,ssn_31*refi_prem,0)</f>
        <v>102.105</v>
      </c>
      <c r="G29" s="11" t="n">
        <f aca="false">IF(2029=refi_yr,ssn_31*refi_prem,0)</f>
        <v>0</v>
      </c>
      <c r="H29" s="11" t="n">
        <f aca="false">IF(2030=refi_yr,ssn_31*refi_prem,0)</f>
        <v>0</v>
      </c>
      <c r="I29" s="11" t="n">
        <f aca="false">IF(2031=refi_yr,ssn_31*refi_prem,0)</f>
        <v>0</v>
      </c>
      <c r="J29" s="11" t="n">
        <f aca="false">IF(2032=refi_yr,ssn_31*refi_prem,0)</f>
        <v>0</v>
      </c>
      <c r="K29" s="11" t="n">
        <f aca="false">IF(2033=refi_yr,ssn_31*refi_prem,0)</f>
        <v>0</v>
      </c>
      <c r="L29" s="11" t="n">
        <f aca="false">IF(2034=refi_yr,ssn_31*refi_prem,0)</f>
        <v>0</v>
      </c>
      <c r="M29" s="11" t="n">
        <f aca="false">IF(2035=refi_yr,ssn_31*refi_prem,0)</f>
        <v>0</v>
      </c>
    </row>
    <row r="30" customFormat="false" ht="17.15" hidden="false" customHeight="false" outlineLevel="0" collapsed="false">
      <c r="A30" s="2" t="s">
        <v>648</v>
      </c>
      <c r="B30" s="0" t="s">
        <v>166</v>
      </c>
      <c r="D30" s="11" t="n">
        <f aca="false">D25-D26-D27-D28-D29</f>
        <v>1527.24536034287</v>
      </c>
      <c r="E30" s="11" t="n">
        <f aca="false">E25-E26-E27-E28-E29</f>
        <v>2617.2833821883</v>
      </c>
      <c r="F30" s="11" t="n">
        <f aca="false">F25-F26-F27-F28-F29</f>
        <v>3639.47942390411</v>
      </c>
      <c r="G30" s="11" t="n">
        <f aca="false">G25-G26-G27-G28-G29</f>
        <v>4320.78635412459</v>
      </c>
      <c r="H30" s="11" t="n">
        <f aca="false">H25-H26-H27-H28-H29</f>
        <v>5565.41581006132</v>
      </c>
      <c r="I30" s="11" t="n">
        <f aca="false">I25-I26-I27-I28-I29</f>
        <v>7032.22249501989</v>
      </c>
      <c r="J30" s="11" t="n">
        <f aca="false">J25-J26-J27-J28-J29</f>
        <v>8734.38025190443</v>
      </c>
      <c r="K30" s="11" t="n">
        <f aca="false">K25-K26-K27-K28-K29</f>
        <v>8971.69287351701</v>
      </c>
      <c r="L30" s="11" t="n">
        <f aca="false">L25-L26-L27-L28-L29</f>
        <v>11604.0153051871</v>
      </c>
      <c r="M30" s="11" t="n">
        <f aca="false">M25-M26-M27-M28-M29</f>
        <v>11842.9397077198</v>
      </c>
    </row>
    <row r="31" customFormat="false" ht="15" hidden="false" customHeight="false" outlineLevel="0" collapsed="false">
      <c r="A31" s="2" t="s">
        <v>649</v>
      </c>
      <c r="B31" s="0" t="s">
        <v>166</v>
      </c>
      <c r="D31" s="11" t="n">
        <f aca="false">C34+D30</f>
        <v>3854.24536034287</v>
      </c>
      <c r="E31" s="11" t="n">
        <f aca="false">D34+E30</f>
        <v>6471.52874253118</v>
      </c>
      <c r="F31" s="11" t="n">
        <f aca="false">E34+F30</f>
        <v>8639.47942390411</v>
      </c>
      <c r="G31" s="11" t="n">
        <f aca="false">F34+G30</f>
        <v>9320.78635412459</v>
      </c>
      <c r="H31" s="11" t="n">
        <f aca="false">G34+H30</f>
        <v>10565.4158100613</v>
      </c>
      <c r="I31" s="11" t="n">
        <f aca="false">H34+I30</f>
        <v>12032.2224950199</v>
      </c>
      <c r="J31" s="11" t="n">
        <f aca="false">I34+J30</f>
        <v>13734.3802519044</v>
      </c>
      <c r="K31" s="11" t="n">
        <f aca="false">J34+K30</f>
        <v>13971.692873517</v>
      </c>
      <c r="L31" s="11" t="n">
        <f aca="false">K34+L30</f>
        <v>16604.0153051871</v>
      </c>
      <c r="M31" s="11" t="n">
        <f aca="false">L34+M30</f>
        <v>16842.9397077198</v>
      </c>
    </row>
    <row r="32" customFormat="false" ht="15" hidden="false" customHeight="false" outlineLevel="0" collapsed="false">
      <c r="A32" s="2" t="s">
        <v>650</v>
      </c>
      <c r="B32" s="0" t="s">
        <v>166</v>
      </c>
      <c r="D32" s="11" t="n">
        <f aca="false">MAX(0,min_cash-D31)</f>
        <v>0</v>
      </c>
      <c r="E32" s="11" t="n">
        <f aca="false">MAX(0,min_cash-E31)</f>
        <v>0</v>
      </c>
      <c r="F32" s="11" t="n">
        <f aca="false">MAX(0,min_cash-F31)</f>
        <v>0</v>
      </c>
      <c r="G32" s="11" t="n">
        <f aca="false">MAX(0,min_cash-G31)</f>
        <v>0</v>
      </c>
      <c r="H32" s="11" t="n">
        <f aca="false">MAX(0,min_cash-H31)</f>
        <v>0</v>
      </c>
      <c r="I32" s="11" t="n">
        <f aca="false">MAX(0,min_cash-I31)</f>
        <v>0</v>
      </c>
      <c r="J32" s="11" t="n">
        <f aca="false">MAX(0,min_cash-J31)</f>
        <v>0</v>
      </c>
      <c r="K32" s="11" t="n">
        <f aca="false">MAX(0,min_cash-K31)</f>
        <v>0</v>
      </c>
      <c r="L32" s="11" t="n">
        <f aca="false">MAX(0,min_cash-L31)</f>
        <v>0</v>
      </c>
      <c r="M32" s="11" t="n">
        <f aca="false">MAX(0,min_cash-M31)</f>
        <v>0</v>
      </c>
    </row>
    <row r="33" customFormat="false" ht="15" hidden="false" customHeight="false" outlineLevel="0" collapsed="false">
      <c r="A33" s="2" t="s">
        <v>651</v>
      </c>
      <c r="B33" s="0" t="s">
        <v>166</v>
      </c>
      <c r="D33" s="11" t="n">
        <f aca="false">MAX(0,D31-cash_cap)</f>
        <v>0</v>
      </c>
      <c r="E33" s="11" t="n">
        <f aca="false">MAX(0,E31-cash_cap)</f>
        <v>1471.52874253118</v>
      </c>
      <c r="F33" s="11" t="n">
        <f aca="false">MAX(0,F31-cash_cap)</f>
        <v>3639.47942390411</v>
      </c>
      <c r="G33" s="11" t="n">
        <f aca="false">MAX(0,G31-cash_cap)</f>
        <v>4320.78635412459</v>
      </c>
      <c r="H33" s="11" t="n">
        <f aca="false">MAX(0,H31-cash_cap)</f>
        <v>5565.41581006132</v>
      </c>
      <c r="I33" s="11" t="n">
        <f aca="false">MAX(0,I31-cash_cap)</f>
        <v>7032.22249501989</v>
      </c>
      <c r="J33" s="11" t="n">
        <f aca="false">MAX(0,J31-cash_cap)</f>
        <v>8734.38025190443</v>
      </c>
      <c r="K33" s="11" t="n">
        <f aca="false">MAX(0,K31-cash_cap)</f>
        <v>8971.69287351701</v>
      </c>
      <c r="L33" s="11" t="n">
        <f aca="false">MAX(0,L31-cash_cap)</f>
        <v>11604.0153051871</v>
      </c>
      <c r="M33" s="11" t="n">
        <f aca="false">MAX(0,M31-cash_cap)</f>
        <v>11842.9397077198</v>
      </c>
    </row>
    <row r="34" customFormat="false" ht="15" hidden="false" customHeight="false" outlineLevel="0" collapsed="false">
      <c r="A34" s="2" t="s">
        <v>652</v>
      </c>
      <c r="B34" s="0" t="s">
        <v>166</v>
      </c>
      <c r="C34" s="0" t="n">
        <f aca="false">d25_cash</f>
        <v>2327</v>
      </c>
      <c r="D34" s="11" t="n">
        <f aca="false">D31+D32-D33</f>
        <v>3854.24536034287</v>
      </c>
      <c r="E34" s="11" t="n">
        <f aca="false">E31+E32-E33</f>
        <v>5000</v>
      </c>
      <c r="F34" s="11" t="n">
        <f aca="false">F31+F32-F33</f>
        <v>5000</v>
      </c>
      <c r="G34" s="11" t="n">
        <f aca="false">G31+G32-G33</f>
        <v>5000</v>
      </c>
      <c r="H34" s="11" t="n">
        <f aca="false">H31+H32-H33</f>
        <v>5000</v>
      </c>
      <c r="I34" s="11" t="n">
        <f aca="false">I31+I32-I33</f>
        <v>5000</v>
      </c>
      <c r="J34" s="11" t="n">
        <f aca="false">J31+J32-J33</f>
        <v>5000</v>
      </c>
      <c r="K34" s="11" t="n">
        <f aca="false">K31+K32-K33</f>
        <v>5000</v>
      </c>
      <c r="L34" s="11" t="n">
        <f aca="false">L31+L32-L33</f>
        <v>5000</v>
      </c>
      <c r="M34" s="11" t="n">
        <f aca="false">M31+M32-M33</f>
        <v>5000</v>
      </c>
    </row>
    <row r="35" customFormat="false" ht="15" hidden="false" customHeight="false" outlineLevel="0" collapsed="false">
      <c r="A35" s="9" t="s">
        <v>653</v>
      </c>
    </row>
    <row r="36" customFormat="false" ht="17.15" hidden="false" customHeight="false" outlineLevel="0" collapsed="false">
      <c r="A36" s="2" t="s">
        <v>654</v>
      </c>
      <c r="B36" s="0" t="s">
        <v>166</v>
      </c>
      <c r="C36" s="11" t="n">
        <f aca="false">0</f>
        <v>0</v>
      </c>
      <c r="D36" s="11" t="n">
        <f aca="false">tlb</f>
        <v>1660</v>
      </c>
      <c r="E36" s="11" t="n">
        <f aca="false">tlb-tlb*0.01*1</f>
        <v>1643.4</v>
      </c>
      <c r="F36" s="11" t="n">
        <f aca="false">tlb-tlb*0.01*2</f>
        <v>1626.8</v>
      </c>
      <c r="G36" s="11" t="n">
        <f aca="false">tlb-tlb*0.01*3</f>
        <v>1610.2</v>
      </c>
      <c r="H36" s="11" t="n">
        <f aca="false">tlb-tlb*0.01*4</f>
        <v>1593.6</v>
      </c>
      <c r="I36" s="11" t="n">
        <f aca="false">tlb-tlb*0.01*5</f>
        <v>1577</v>
      </c>
      <c r="J36" s="11" t="n">
        <f aca="false">tlb-tlb*0.01*6</f>
        <v>1560.4</v>
      </c>
      <c r="K36" s="11" t="n">
        <f aca="false">0</f>
        <v>0</v>
      </c>
      <c r="L36" s="11" t="n">
        <f aca="false">0</f>
        <v>0</v>
      </c>
      <c r="M36" s="11" t="n">
        <f aca="false">0</f>
        <v>0</v>
      </c>
    </row>
    <row r="37" customFormat="false" ht="17.15" hidden="false" customHeight="false" outlineLevel="0" collapsed="false">
      <c r="A37" s="0" t="s">
        <v>655</v>
      </c>
      <c r="B37" s="0" t="s">
        <v>166</v>
      </c>
      <c r="C37" s="11" t="n">
        <f aca="false">tlb_old</f>
        <v>1660</v>
      </c>
      <c r="D37" s="11" t="n">
        <f aca="false">0</f>
        <v>0</v>
      </c>
      <c r="E37" s="11" t="n">
        <f aca="false">0</f>
        <v>0</v>
      </c>
      <c r="F37" s="11" t="n">
        <f aca="false">0</f>
        <v>0</v>
      </c>
      <c r="G37" s="11" t="n">
        <f aca="false">0</f>
        <v>0</v>
      </c>
      <c r="H37" s="11" t="n">
        <f aca="false">0</f>
        <v>0</v>
      </c>
      <c r="I37" s="11" t="n">
        <f aca="false">0</f>
        <v>0</v>
      </c>
      <c r="J37" s="11" t="n">
        <f aca="false">0</f>
        <v>0</v>
      </c>
      <c r="K37" s="11" t="n">
        <f aca="false">0</f>
        <v>0</v>
      </c>
      <c r="L37" s="11" t="n">
        <f aca="false">0</f>
        <v>0</v>
      </c>
      <c r="M37" s="11" t="n">
        <f aca="false">0</f>
        <v>0</v>
      </c>
    </row>
    <row r="38" customFormat="false" ht="17.15" hidden="false" customHeight="false" outlineLevel="0" collapsed="false">
      <c r="A38" s="0" t="s">
        <v>656</v>
      </c>
      <c r="B38" s="0" t="s">
        <v>166</v>
      </c>
      <c r="C38" s="11" t="n">
        <f aca="false">IF(2025&lt;refi_yr,ssn_31,0)</f>
        <v>2269</v>
      </c>
      <c r="D38" s="11" t="n">
        <f aca="false">IF(2026&lt;refi_yr,ssn_31,0)</f>
        <v>2269</v>
      </c>
      <c r="E38" s="11" t="n">
        <f aca="false">IF(2027&lt;refi_yr,ssn_31,0)</f>
        <v>2269</v>
      </c>
      <c r="F38" s="11" t="n">
        <f aca="false">IF(2028&lt;refi_yr,ssn_31,0)</f>
        <v>0</v>
      </c>
      <c r="G38" s="11" t="n">
        <f aca="false">IF(2029&lt;refi_yr,ssn_31,0)</f>
        <v>0</v>
      </c>
      <c r="H38" s="11" t="n">
        <f aca="false">IF(2030&lt;refi_yr,ssn_31,0)</f>
        <v>0</v>
      </c>
      <c r="I38" s="11" t="n">
        <f aca="false">IF(2031&lt;refi_yr,ssn_31,0)</f>
        <v>0</v>
      </c>
      <c r="J38" s="11" t="n">
        <f aca="false">IF(2032&lt;refi_yr,ssn_31,0)</f>
        <v>0</v>
      </c>
      <c r="K38" s="11" t="n">
        <f aca="false">IF(2033&lt;refi_yr,ssn_31,0)</f>
        <v>0</v>
      </c>
      <c r="L38" s="11" t="n">
        <f aca="false">IF(2034&lt;refi_yr,ssn_31,0)</f>
        <v>0</v>
      </c>
      <c r="M38" s="11" t="n">
        <f aca="false">IF(2035&lt;refi_yr,ssn_31,0)</f>
        <v>0</v>
      </c>
    </row>
    <row r="39" customFormat="false" ht="17.15" hidden="false" customHeight="false" outlineLevel="0" collapsed="false">
      <c r="A39" s="0" t="s">
        <v>657</v>
      </c>
      <c r="B39" s="0" t="s">
        <v>166</v>
      </c>
      <c r="C39" s="11" t="n">
        <f aca="false">IF(2025&gt;=refi_yr,ssn_31*(1+0),0)</f>
        <v>0</v>
      </c>
      <c r="D39" s="11" t="n">
        <f aca="false">IF(2026&gt;=refi_yr,ssn_31*(1+0),0)</f>
        <v>0</v>
      </c>
      <c r="E39" s="11" t="n">
        <f aca="false">IF(2027&gt;=refi_yr,ssn_31*(1+0),0)</f>
        <v>0</v>
      </c>
      <c r="F39" s="11" t="n">
        <f aca="false">IF(2028&gt;=refi_yr,ssn_31*(1+0),0)</f>
        <v>2269</v>
      </c>
      <c r="G39" s="11" t="n">
        <f aca="false">IF(2029&gt;=refi_yr,ssn_31*(1+0),0)</f>
        <v>2269</v>
      </c>
      <c r="H39" s="11" t="n">
        <f aca="false">IF(2030&gt;=refi_yr,ssn_31*(1+0),0)</f>
        <v>2269</v>
      </c>
      <c r="I39" s="11" t="n">
        <f aca="false">IF(2031&gt;=refi_yr,ssn_31*(1+0),0)</f>
        <v>2269</v>
      </c>
      <c r="J39" s="11" t="n">
        <f aca="false">IF(2032&gt;=refi_yr,ssn_31*(1+0),0)</f>
        <v>2269</v>
      </c>
      <c r="K39" s="11" t="n">
        <f aca="false">IF(2033&gt;=refi_yr,ssn_31*(1+0),0)</f>
        <v>2269</v>
      </c>
      <c r="L39" s="11" t="n">
        <f aca="false">IF(2034&gt;=refi_yr,ssn_31*(1+0),0)</f>
        <v>2269</v>
      </c>
      <c r="M39" s="11" t="n">
        <f aca="false">IF(2035&gt;=refi_yr,ssn_31*(1+0),0)</f>
        <v>2269</v>
      </c>
    </row>
    <row r="40" customFormat="false" ht="15" hidden="false" customHeight="false" outlineLevel="0" collapsed="false">
      <c r="A40" s="2" t="s">
        <v>658</v>
      </c>
      <c r="B40" s="0" t="s">
        <v>166</v>
      </c>
      <c r="C40" s="11" t="n">
        <f aca="false">uns</f>
        <v>107</v>
      </c>
      <c r="D40" s="11" t="n">
        <f aca="false">uns</f>
        <v>107</v>
      </c>
      <c r="E40" s="11" t="n">
        <f aca="false">uns-32</f>
        <v>75</v>
      </c>
      <c r="F40" s="11" t="n">
        <f aca="false">uns-32-22</f>
        <v>53</v>
      </c>
      <c r="G40" s="11" t="n">
        <f aca="false">uns-32-22-26</f>
        <v>27</v>
      </c>
      <c r="H40" s="11" t="n">
        <f aca="false">0</f>
        <v>0</v>
      </c>
      <c r="I40" s="11" t="n">
        <f aca="false">0</f>
        <v>0</v>
      </c>
      <c r="J40" s="11" t="n">
        <f aca="false">0</f>
        <v>0</v>
      </c>
      <c r="K40" s="11" t="n">
        <f aca="false">0</f>
        <v>0</v>
      </c>
      <c r="L40" s="11" t="n">
        <f aca="false">0</f>
        <v>0</v>
      </c>
      <c r="M40" s="11" t="n">
        <f aca="false">0</f>
        <v>0</v>
      </c>
    </row>
    <row r="41" customFormat="false" ht="15" hidden="false" customHeight="false" outlineLevel="0" collapsed="false">
      <c r="A41" s="2" t="s">
        <v>305</v>
      </c>
      <c r="B41" s="0" t="s">
        <v>166</v>
      </c>
      <c r="C41" s="11" t="n">
        <f aca="false">re_fin</f>
        <v>485</v>
      </c>
      <c r="D41" s="11" t="n">
        <f aca="false">re_fin</f>
        <v>485</v>
      </c>
      <c r="E41" s="11" t="n">
        <f aca="false">re_fin</f>
        <v>485</v>
      </c>
      <c r="F41" s="11" t="n">
        <f aca="false">re_fin</f>
        <v>485</v>
      </c>
      <c r="G41" s="11" t="n">
        <f aca="false">re_fin</f>
        <v>485</v>
      </c>
      <c r="H41" s="11" t="n">
        <f aca="false">re_fin</f>
        <v>485</v>
      </c>
      <c r="I41" s="11" t="n">
        <f aca="false">re_fin</f>
        <v>485</v>
      </c>
      <c r="J41" s="11" t="n">
        <f aca="false">re_fin</f>
        <v>485</v>
      </c>
      <c r="K41" s="11" t="n">
        <f aca="false">re_fin</f>
        <v>485</v>
      </c>
      <c r="L41" s="11" t="n">
        <f aca="false">re_fin</f>
        <v>485</v>
      </c>
      <c r="M41" s="11" t="n">
        <f aca="false">re_fin</f>
        <v>485</v>
      </c>
    </row>
    <row r="42" customFormat="false" ht="15" hidden="false" customHeight="false" outlineLevel="0" collapsed="false">
      <c r="A42" s="2" t="s">
        <v>659</v>
      </c>
      <c r="B42" s="0" t="s">
        <v>166</v>
      </c>
      <c r="C42" s="11" t="n">
        <f aca="false">bi_adv*C17</f>
        <v>372.57091561939</v>
      </c>
      <c r="D42" s="11" t="n">
        <f aca="false">bi_adv*D17</f>
        <v>427</v>
      </c>
      <c r="E42" s="11" t="n">
        <f aca="false">bi_adv*E17</f>
        <v>574.9128</v>
      </c>
      <c r="F42" s="11" t="n">
        <f aca="false">bi_adv*F17</f>
        <v>750.60615168</v>
      </c>
      <c r="G42" s="11" t="n">
        <f aca="false">bi_adv*G17</f>
        <v>949.366660644864</v>
      </c>
      <c r="H42" s="11" t="n">
        <f aca="false">bi_adv*H17</f>
        <v>1162.02479262931</v>
      </c>
      <c r="I42" s="11" t="n">
        <f aca="false">bi_adv*I17</f>
        <v>1393.87197925471</v>
      </c>
      <c r="J42" s="11" t="n">
        <f aca="false">bi_adv*J17</f>
        <v>1637.85533050346</v>
      </c>
      <c r="K42" s="11" t="n">
        <f aca="false">bi_adv*K17</f>
        <v>1786.11626111703</v>
      </c>
      <c r="L42" s="11" t="n">
        <f aca="false">bi_adv*L17</f>
        <v>1821.83858633937</v>
      </c>
      <c r="M42" s="11" t="n">
        <f aca="false">bi_adv*M17</f>
        <v>1858.27535806615</v>
      </c>
    </row>
    <row r="43" customFormat="false" ht="15" hidden="false" customHeight="false" outlineLevel="0" collapsed="false">
      <c r="A43" s="2" t="s">
        <v>660</v>
      </c>
      <c r="B43" s="0" t="s">
        <v>166</v>
      </c>
      <c r="C43" s="11" t="n">
        <f aca="false">fleet+finls</f>
        <v>260</v>
      </c>
      <c r="D43" s="11" t="n">
        <f aca="false">fleet+finls</f>
        <v>260</v>
      </c>
      <c r="E43" s="11" t="n">
        <f aca="false">fleet+finls</f>
        <v>260</v>
      </c>
      <c r="F43" s="11" t="n">
        <f aca="false">fleet+finls</f>
        <v>260</v>
      </c>
      <c r="G43" s="11" t="n">
        <f aca="false">fleet+finls</f>
        <v>260</v>
      </c>
      <c r="H43" s="11" t="n">
        <f aca="false">fleet+finls</f>
        <v>260</v>
      </c>
      <c r="I43" s="11" t="n">
        <f aca="false">fleet+finls</f>
        <v>260</v>
      </c>
      <c r="J43" s="11" t="n">
        <f aca="false">fleet+finls</f>
        <v>260</v>
      </c>
      <c r="K43" s="11" t="n">
        <f aca="false">fleet+finls</f>
        <v>260</v>
      </c>
      <c r="L43" s="11" t="n">
        <f aca="false">fleet+finls</f>
        <v>260</v>
      </c>
      <c r="M43" s="11" t="n">
        <f aca="false">fleet+finls</f>
        <v>260</v>
      </c>
    </row>
    <row r="44" customFormat="false" ht="17.15" hidden="false" customHeight="false" outlineLevel="0" collapsed="false">
      <c r="A44" s="2" t="s">
        <v>661</v>
      </c>
      <c r="B44" s="0" t="s">
        <v>166</v>
      </c>
      <c r="C44" s="11" t="n">
        <f aca="false">fp_ratio*C14</f>
        <v>49.4699074074074</v>
      </c>
      <c r="D44" s="11" t="n">
        <f aca="false">fp_ratio*D14</f>
        <v>67.6242223250523</v>
      </c>
      <c r="E44" s="11" t="n">
        <f aca="false">fp_ratio*E14</f>
        <v>90.2025552292561</v>
      </c>
      <c r="F44" s="11" t="n">
        <f aca="false">fp_ratio*F14</f>
        <v>117.950218589088</v>
      </c>
      <c r="G44" s="11" t="n">
        <f aca="false">fp_ratio*G14</f>
        <v>149.412707905381</v>
      </c>
      <c r="H44" s="11" t="n">
        <f aca="false">fp_ratio*H14</f>
        <v>183.160943344678</v>
      </c>
      <c r="I44" s="11" t="n">
        <f aca="false">fp_ratio*I14</f>
        <v>220.313923423098</v>
      </c>
      <c r="J44" s="11" t="n">
        <f aca="false">fp_ratio*J14</f>
        <v>259.578904958036</v>
      </c>
      <c r="K44" s="11" t="n">
        <f aca="false">fp_ratio*K14</f>
        <v>283.826061193704</v>
      </c>
      <c r="L44" s="11" t="n">
        <f aca="false">fp_ratio*L14</f>
        <v>290.252297029451</v>
      </c>
      <c r="M44" s="11" t="n">
        <f aca="false">fp_ratio*M14</f>
        <v>296.807057581912</v>
      </c>
    </row>
    <row r="45" customFormat="false" ht="15" hidden="false" customHeight="false" outlineLevel="0" collapsed="false">
      <c r="A45" s="2" t="s">
        <v>662</v>
      </c>
      <c r="B45" s="0" t="s">
        <v>166</v>
      </c>
      <c r="C45" s="11" t="n">
        <f aca="false">0</f>
        <v>0</v>
      </c>
      <c r="D45" s="11" t="n">
        <f aca="false">C45+D32</f>
        <v>0</v>
      </c>
      <c r="E45" s="11" t="n">
        <f aca="false">D45+E32</f>
        <v>0</v>
      </c>
      <c r="F45" s="11" t="n">
        <f aca="false">E45+F32</f>
        <v>0</v>
      </c>
      <c r="G45" s="11" t="n">
        <f aca="false">F45+G32</f>
        <v>0</v>
      </c>
      <c r="H45" s="11" t="n">
        <f aca="false">G45+H32</f>
        <v>0</v>
      </c>
      <c r="I45" s="11" t="n">
        <f aca="false">H45+I32</f>
        <v>0</v>
      </c>
      <c r="J45" s="11" t="n">
        <f aca="false">I45+J32</f>
        <v>0</v>
      </c>
      <c r="K45" s="11" t="n">
        <f aca="false">J45+K32</f>
        <v>0</v>
      </c>
      <c r="L45" s="11" t="n">
        <f aca="false">K45+L32</f>
        <v>0</v>
      </c>
      <c r="M45" s="11" t="n">
        <f aca="false">L45+M32</f>
        <v>0</v>
      </c>
    </row>
    <row r="46" customFormat="false" ht="15" hidden="false" customHeight="false" outlineLevel="0" collapsed="false">
      <c r="A46" s="2" t="s">
        <v>663</v>
      </c>
      <c r="B46" s="0" t="s">
        <v>166</v>
      </c>
      <c r="C46" s="11" t="n">
        <f aca="false">SUM(C36:C45)</f>
        <v>5203.0408230268</v>
      </c>
      <c r="D46" s="11" t="n">
        <f aca="false">SUM(D36:D45)</f>
        <v>5275.62422232505</v>
      </c>
      <c r="E46" s="11" t="n">
        <f aca="false">SUM(E36:E45)</f>
        <v>5397.51535522926</v>
      </c>
      <c r="F46" s="11" t="n">
        <f aca="false">SUM(F36:F45)</f>
        <v>5562.35637026909</v>
      </c>
      <c r="G46" s="11" t="n">
        <f aca="false">SUM(G36:G45)</f>
        <v>5749.97936855024</v>
      </c>
      <c r="H46" s="11" t="n">
        <f aca="false">SUM(H36:H45)</f>
        <v>5952.78573597399</v>
      </c>
      <c r="I46" s="11" t="n">
        <f aca="false">SUM(I36:I45)</f>
        <v>6205.18590267781</v>
      </c>
      <c r="J46" s="11" t="n">
        <f aca="false">SUM(J36:J45)</f>
        <v>6471.8342354615</v>
      </c>
      <c r="K46" s="11" t="n">
        <f aca="false">SUM(K36:K45)</f>
        <v>5083.94232231073</v>
      </c>
      <c r="L46" s="11" t="n">
        <f aca="false">SUM(L36:L45)</f>
        <v>5126.09088336882</v>
      </c>
      <c r="M46" s="11" t="n">
        <f aca="false">SUM(M36:M45)</f>
        <v>5169.08241564807</v>
      </c>
    </row>
    <row r="47" customFormat="false" ht="15" hidden="false" customHeight="false" outlineLevel="0" collapsed="false">
      <c r="A47" s="2" t="s">
        <v>510</v>
      </c>
      <c r="B47" s="0" t="s">
        <v>166</v>
      </c>
      <c r="D47" s="11" t="n">
        <f aca="false">ytd_int+int_lq-tlb*(ssn_r-swap_fix-tlb_sp)*1.5/12</f>
        <v>390.407875</v>
      </c>
      <c r="E47" s="11" t="n">
        <f aca="false">D36*(IF(2027&lt;=2028,swap_fix,sofr)+tlb_sp)+IF(2027=refi_yr,ssn_31*(ssn_r*7.5/12+(sofr+refi_sp)*(12-7.5)/12),D38*ssn_r+D39*(sofr+refi_sp))+D40*uns_r+D41*re_r+D42*bi_r+fleet*fleet_r+finls*finls_r+D44*fp_r+D45*(sofr+new_r_sp)+int_cal*Thesis!E15/Thesis!D15-D34*cash_y</f>
        <v>366.156246099232</v>
      </c>
      <c r="F47" s="11" t="n">
        <f aca="false">E36*(IF(2028&lt;=2028,swap_fix,sofr)+tlb_sp)+IF(2028=refi_yr,ssn_31*(ssn_r*7.5/12+(sofr+refi_sp)*(12-7.5)/12),E38*ssn_r+E39*(sofr+refi_sp))+E40*uns_r+E41*re_r+E42*bi_r+fleet*fleet_r+finls*finls_r+E44*fp_r+E45*(sofr+new_r_sp)+int_cal*Thesis!F15/Thesis!D15-E34*cash_y</f>
        <v>344.031667978099</v>
      </c>
      <c r="G47" s="11" t="n">
        <f aca="false">F36*(IF(2029&lt;=2028,swap_fix,sofr)+tlb_sp)+IF(2029=refi_yr,ssn_31*(ssn_r*7.5/12+(sofr+refi_sp)*(12-7.5)/12),F38*ssn_r+F39*(sofr+refi_sp))+F40*uns_r+F41*re_r+F42*bi_r+fleet*fleet_r+finls*finls_r+F44*fp_r+F45*(sofr+new_r_sp)+int_cal*Thesis!G15/Thesis!D15-F34*cash_y</f>
        <v>353.528007685231</v>
      </c>
      <c r="H47" s="11" t="n">
        <f aca="false">G36*(IF(2030&lt;=2028,swap_fix,sofr)+tlb_sp)+IF(2030=refi_yr,ssn_31*(ssn_r*7.5/12+(sofr+refi_sp)*(12-7.5)/12),G38*ssn_r+G39*(sofr+refi_sp))+G40*uns_r+G41*re_r+G42*bi_r+fleet*fleet_r+finls*finls_r+G44*fp_r+G45*(sofr+new_r_sp)+int_cal*Thesis!H15/Thesis!D15-G34*cash_y</f>
        <v>401.82941727747</v>
      </c>
      <c r="I47" s="11" t="n">
        <f aca="false">H36*(IF(2031&lt;=2028,swap_fix,sofr)+tlb_sp)+IF(2031=refi_yr,ssn_31*(ssn_r*7.5/12+(sofr+refi_sp)*(12-7.5)/12),H38*ssn_r+H39*(sofr+refi_sp))+H40*uns_r+H41*re_r+H42*bi_r+fleet*fleet_r+finls*finls_r+H44*fp_r+H45*(sofr+new_r_sp)+int_cal*Thesis!I15/Thesis!D15-H34*cash_y</f>
        <v>454.363820915359</v>
      </c>
      <c r="J47" s="11" t="n">
        <f aca="false">I36*(IF(2032&lt;=2028,swap_fix,sofr)+tlb_sp)+IF(2032=refi_yr,ssn_31*(ssn_r*7.5/12+(sofr+refi_sp)*(12-7.5)/12),I38*ssn_r+I39*(sofr+refi_sp))+I40*uns_r+I41*re_r+I42*bi_r+fleet*fleet_r+finls*finls_r+I44*fp_r+I45*(sofr+new_r_sp)+int_cal*Thesis!J15/Thesis!D15-I34*cash_y</f>
        <v>512.220666877692</v>
      </c>
      <c r="K47" s="11" t="n">
        <f aca="false">J36*(IF(2033&lt;=2028,swap_fix,sofr)+tlb_sp)+IF(2033=refi_yr,ssn_31*(ssn_r*7.5/12+(sofr+refi_sp)*(12-7.5)/12),J38*ssn_r+J39*(sofr+refi_sp))+J40*uns_r+J41*re_r+J42*bi_r+fleet*fleet_r+finls*finls_r+J44*fp_r+J45*(sofr+new_r_sp)+int_cal*Thesis!K15/Thesis!D15-J34*cash_y</f>
        <v>554.933711699865</v>
      </c>
      <c r="L47" s="11" t="n">
        <f aca="false">K36*(IF(2034&lt;=2028,swap_fix,sofr)+tlb_sp)+IF(2034=refi_yr,ssn_31*(ssn_r*7.5/12+(sofr+refi_sp)*(12-7.5)/12),K38*ssn_r+K39*(sofr+refi_sp))+K40*uns_r+K41*re_r+K42*bi_r+fleet*fleet_r+finls*finls_r+K44*fp_r+K45*(sofr+new_r_sp)+int_cal*Thesis!L15/Thesis!D15-K34*cash_y</f>
        <v>475.959322883368</v>
      </c>
      <c r="M47" s="11" t="n">
        <f aca="false">L36*(IF(2035&lt;=2028,swap_fix,sofr)+tlb_sp)+IF(2035=refi_yr,ssn_31*(ssn_r*7.5/12+(sofr+refi_sp)*(12-7.5)/12),L38*ssn_r+L39*(sofr+refi_sp))+L40*uns_r+L41*re_r+L42*bi_r+fleet*fleet_r+finls*finls_r+L44*fp_r+L45*(sofr+new_r_sp)+int_cal*Thesis!M15/Thesis!D15-L34*cash_y</f>
        <v>484.868772669803</v>
      </c>
    </row>
    <row r="50" customFormat="false" ht="17.15" hidden="false" customHeight="false" outlineLevel="0" collapsed="false">
      <c r="A50" s="9" t="s">
        <v>577</v>
      </c>
    </row>
    <row r="51" customFormat="false" ht="15" hidden="false" customHeight="false" outlineLevel="0" collapsed="false">
      <c r="A51" s="4" t="s">
        <v>14</v>
      </c>
      <c r="B51" s="4" t="s">
        <v>15</v>
      </c>
      <c r="C51" s="8" t="s">
        <v>554</v>
      </c>
      <c r="D51" s="8" t="s">
        <v>555</v>
      </c>
      <c r="E51" s="8" t="s">
        <v>556</v>
      </c>
      <c r="F51" s="8" t="s">
        <v>557</v>
      </c>
      <c r="G51" s="8" t="s">
        <v>558</v>
      </c>
      <c r="H51" s="8" t="s">
        <v>559</v>
      </c>
      <c r="I51" s="8" t="s">
        <v>560</v>
      </c>
      <c r="J51" s="8" t="s">
        <v>561</v>
      </c>
      <c r="K51" s="8" t="s">
        <v>562</v>
      </c>
      <c r="L51" s="8" t="s">
        <v>563</v>
      </c>
      <c r="M51" s="8" t="s">
        <v>564</v>
      </c>
    </row>
    <row r="52" customFormat="false" ht="15" hidden="false" customHeight="false" outlineLevel="0" collapsed="false">
      <c r="A52" s="2" t="s">
        <v>518</v>
      </c>
      <c r="B52" s="0" t="s">
        <v>166</v>
      </c>
      <c r="C52" s="11" t="n">
        <f aca="false">d25_inv</f>
        <v>2408</v>
      </c>
      <c r="D52" s="11" t="n">
        <f aca="false">inv_d*(PL!D38-PL!D45)/365</f>
        <v>3291.68045570959</v>
      </c>
      <c r="E52" s="11" t="n">
        <f aca="false">inv_d*(PL!E38-PL!E45)/365</f>
        <v>4183.25645776068</v>
      </c>
      <c r="F52" s="11" t="n">
        <f aca="false">inv_d*(PL!F38-PL!F45)/365</f>
        <v>5141.09364894839</v>
      </c>
      <c r="G52" s="11" t="n">
        <f aca="false">inv_d*(PL!G38-PL!G45)/365</f>
        <v>6133.22153538257</v>
      </c>
      <c r="H52" s="11" t="n">
        <f aca="false">inv_d*(PL!H38-PL!H45)/365</f>
        <v>7096.16060752041</v>
      </c>
      <c r="I52" s="11" t="n">
        <f aca="false">inv_d*(PL!I38-PL!I45)/365</f>
        <v>8083.18510294746</v>
      </c>
      <c r="J52" s="11" t="n">
        <f aca="false">inv_d*(PL!J38-PL!J45)/365</f>
        <v>9074.75976905896</v>
      </c>
      <c r="K52" s="11" t="n">
        <f aca="false">inv_d*(PL!K38-PL!K45)/365</f>
        <v>10038.9807467414</v>
      </c>
      <c r="L52" s="11" t="n">
        <f aca="false">inv_d*(PL!L38-PL!L45)/365</f>
        <v>10940.8624705284</v>
      </c>
      <c r="M52" s="11" t="n">
        <f aca="false">inv_d*(PL!M38-PL!M45)/365</f>
        <v>11744.2055271665</v>
      </c>
    </row>
    <row r="53" customFormat="false" ht="15" hidden="false" customHeight="false" outlineLevel="0" collapsed="false">
      <c r="A53" s="2" t="s">
        <v>519</v>
      </c>
      <c r="B53" s="0" t="s">
        <v>166</v>
      </c>
      <c r="C53" s="11" t="n">
        <f aca="false">d25_frhfs</f>
        <v>813</v>
      </c>
      <c r="D53" s="11" t="n">
        <f aca="false">fr_d*Thesis!D42/365</f>
        <v>853.595178082192</v>
      </c>
      <c r="E53" s="11" t="n">
        <f aca="false">fr_d*Thesis!E42/365</f>
        <v>1088.33385205479</v>
      </c>
      <c r="F53" s="11" t="n">
        <f aca="false">fr_d*Thesis!F42/365</f>
        <v>1332.12063491507</v>
      </c>
      <c r="G53" s="11" t="n">
        <f aca="false">fr_d*Thesis!G42/365</f>
        <v>1582.95895046958</v>
      </c>
      <c r="H53" s="11" t="n">
        <f aca="false">fr_d*Thesis!H42/365</f>
        <v>1824.51848631123</v>
      </c>
      <c r="I53" s="11" t="n">
        <f aca="false">fr_d*Thesis!I42/365</f>
        <v>2073.16386562573</v>
      </c>
      <c r="J53" s="11" t="n">
        <f aca="false">fr_d*Thesis!J42/365</f>
        <v>2321.86060294619</v>
      </c>
      <c r="K53" s="11" t="n">
        <f aca="false">fr_d*Thesis!K42/365</f>
        <v>2562.49823583553</v>
      </c>
      <c r="L53" s="11" t="n">
        <f aca="false">fr_d*Thesis!L42/365</f>
        <v>2786.25558178869</v>
      </c>
      <c r="M53" s="11" t="n">
        <f aca="false">fr_d*Thesis!M42/365</f>
        <v>2984.07972809569</v>
      </c>
    </row>
    <row r="54" customFormat="false" ht="15" hidden="false" customHeight="false" outlineLevel="0" collapsed="false">
      <c r="A54" s="2" t="s">
        <v>635</v>
      </c>
      <c r="B54" s="0" t="s">
        <v>166</v>
      </c>
      <c r="C54" s="6" t="n">
        <v>1100</v>
      </c>
      <c r="D54" s="11" t="n">
        <f aca="false">ap_pct*(PL!D43-PL!D48+PL!D49)</f>
        <v>1484.31420728804</v>
      </c>
      <c r="E54" s="11" t="n">
        <f aca="false">ap_pct*(PL!E43-PL!E48+PL!E49)</f>
        <v>1876.74467072753</v>
      </c>
      <c r="F54" s="11" t="n">
        <f aca="false">ap_pct*(PL!F43-PL!F48+PL!F49)</f>
        <v>2291.13025361247</v>
      </c>
      <c r="G54" s="11" t="n">
        <f aca="false">ap_pct*(PL!G43-PL!G48+PL!G49)</f>
        <v>2717.99601886069</v>
      </c>
      <c r="H54" s="11" t="n">
        <f aca="false">ap_pct*(PL!H43-PL!H48+PL!H49)</f>
        <v>3129.73198533322</v>
      </c>
      <c r="I54" s="11" t="n">
        <f aca="false">ap_pct*(PL!I43-PL!I48+PL!I49)</f>
        <v>3550.77405938818</v>
      </c>
      <c r="J54" s="11" t="n">
        <f aca="false">ap_pct*(PL!J43-PL!J48+PL!J49)</f>
        <v>3971.85238216703</v>
      </c>
      <c r="K54" s="11" t="n">
        <f aca="false">ap_pct*(PL!K43-PL!K48+PL!K49)</f>
        <v>4379.29624299204</v>
      </c>
      <c r="L54" s="11" t="n">
        <f aca="false">ap_pct*(PL!L43-PL!L48+PL!L49)</f>
        <v>4758.23999922184</v>
      </c>
      <c r="M54" s="11" t="n">
        <f aca="false">ap_pct*(PL!M43-PL!M48+PL!M49)</f>
        <v>5093.42883083748</v>
      </c>
    </row>
    <row r="55" customFormat="false" ht="15" hidden="false" customHeight="false" outlineLevel="0" collapsed="false">
      <c r="A55" s="2" t="s">
        <v>636</v>
      </c>
      <c r="B55" s="0" t="s">
        <v>166</v>
      </c>
      <c r="C55" s="11" t="n">
        <f aca="false">d25_bi</f>
        <v>486</v>
      </c>
      <c r="D55" s="11" t="n">
        <f aca="false">lq_bi*Thesis!D42/Thesis!D42</f>
        <v>557</v>
      </c>
      <c r="E55" s="11" t="n">
        <f aca="false">lq_bi*Thesis!E42/Thesis!D42</f>
        <v>710.175</v>
      </c>
      <c r="F55" s="11" t="n">
        <f aca="false">lq_bi*Thesis!F42/Thesis!D42</f>
        <v>869.2542</v>
      </c>
      <c r="G55" s="11" t="n">
        <f aca="false">lq_bi*Thesis!G42/Thesis!D42</f>
        <v>1032.93476586</v>
      </c>
      <c r="H55" s="11" t="n">
        <f aca="false">lq_bi*Thesis!H42/Thesis!D42</f>
        <v>1190.56061113024</v>
      </c>
      <c r="I55" s="11" t="n">
        <f aca="false">lq_bi*Thesis!I42/Thesis!D42</f>
        <v>1352.81021121506</v>
      </c>
      <c r="J55" s="11" t="n">
        <f aca="false">lq_bi*Thesis!J42/Thesis!D42</f>
        <v>1515.09332415242</v>
      </c>
      <c r="K55" s="11" t="n">
        <f aca="false">lq_bi*Thesis!K42/Thesis!D42</f>
        <v>1672.11759626758</v>
      </c>
      <c r="L55" s="11" t="n">
        <f aca="false">lq_bi*Thesis!L42/Thesis!D42</f>
        <v>1818.12690477367</v>
      </c>
      <c r="M55" s="11" t="n">
        <f aca="false">lq_bi*Thesis!M42/Thesis!D42</f>
        <v>1947.2139150126</v>
      </c>
    </row>
    <row r="56" customFormat="false" ht="15" hidden="false" customHeight="false" outlineLevel="0" collapsed="false">
      <c r="A56" s="2" t="s">
        <v>637</v>
      </c>
      <c r="B56" s="0" t="s">
        <v>166</v>
      </c>
      <c r="D56" s="11" t="n">
        <f aca="false">PL!D56</f>
        <v>1879.62970616908</v>
      </c>
      <c r="E56" s="11" t="n">
        <f aca="false">PL!E56</f>
        <v>2764.91015604388</v>
      </c>
      <c r="F56" s="11" t="n">
        <f aca="false">PL!F56</f>
        <v>3463.78803151844</v>
      </c>
      <c r="G56" s="11" t="n">
        <f aca="false">PL!G56</f>
        <v>4105.67804708488</v>
      </c>
      <c r="H56" s="11" t="n">
        <f aca="false">PL!H56</f>
        <v>4635.33353950595</v>
      </c>
      <c r="I56" s="11" t="n">
        <f aca="false">PL!I56</f>
        <v>5338.48909269475</v>
      </c>
      <c r="J56" s="11" t="n">
        <f aca="false">PL!J56</f>
        <v>6034.75145865977</v>
      </c>
      <c r="K56" s="11" t="n">
        <f aca="false">PL!K56</f>
        <v>6701.32475860729</v>
      </c>
      <c r="L56" s="11" t="n">
        <f aca="false">PL!L56</f>
        <v>7390.43198876576</v>
      </c>
      <c r="M56" s="11" t="n">
        <f aca="false">PL!M56</f>
        <v>7918.48163806161</v>
      </c>
    </row>
    <row r="57" customFormat="false" ht="17.15" hidden="false" customHeight="false" outlineLevel="0" collapsed="false">
      <c r="A57" s="2" t="s">
        <v>638</v>
      </c>
      <c r="B57" s="0" t="s">
        <v>166</v>
      </c>
      <c r="D57" s="11" t="n">
        <f aca="false">PL!D59+PL!D60</f>
        <v>369</v>
      </c>
      <c r="E57" s="11" t="n">
        <f aca="false">PL!E59+PL!E60</f>
        <v>380.07</v>
      </c>
      <c r="F57" s="11" t="n">
        <f aca="false">PL!F59+PL!F60</f>
        <v>391.4721</v>
      </c>
      <c r="G57" s="11" t="n">
        <f aca="false">PL!G59+PL!G60</f>
        <v>410.964634094118</v>
      </c>
      <c r="H57" s="11" t="n">
        <f aca="false">PL!H59+PL!H60</f>
        <v>431.868410226353</v>
      </c>
      <c r="I57" s="11" t="n">
        <f aca="false">PL!I59+PL!I60</f>
        <v>453.055137917397</v>
      </c>
      <c r="J57" s="11" t="n">
        <f aca="false">PL!J59+PL!J60</f>
        <v>474.246036360967</v>
      </c>
      <c r="K57" s="11" t="n">
        <f aca="false">PL!K59+PL!K60</f>
        <v>495.142735876767</v>
      </c>
      <c r="L57" s="11" t="n">
        <f aca="false">PL!L59+PL!L60</f>
        <v>515.44451201633</v>
      </c>
      <c r="M57" s="11" t="n">
        <f aca="false">PL!M59+PL!M60</f>
        <v>534.867974416506</v>
      </c>
    </row>
    <row r="58" customFormat="false" ht="15" hidden="false" customHeight="false" outlineLevel="0" collapsed="false">
      <c r="A58" s="2" t="s">
        <v>639</v>
      </c>
      <c r="B58" s="0" t="s">
        <v>166</v>
      </c>
      <c r="D58" s="11" t="n">
        <f aca="false">PL!D55-MAX(0,PL!D54)*ctr</f>
        <v>166.147996296916</v>
      </c>
      <c r="E58" s="11" t="n">
        <f aca="false">PL!E55-MAX(0,PL!E54)*ctr</f>
        <v>282.774902322669</v>
      </c>
      <c r="F58" s="11" t="n">
        <f aca="false">PL!F55-MAX(0,PL!F54)*ctr</f>
        <v>443.042655194219</v>
      </c>
      <c r="G58" s="11" t="n">
        <f aca="false">0</f>
        <v>0</v>
      </c>
      <c r="H58" s="11" t="n">
        <f aca="false">0</f>
        <v>0</v>
      </c>
      <c r="I58" s="11" t="n">
        <f aca="false">0</f>
        <v>0</v>
      </c>
      <c r="J58" s="11" t="n">
        <f aca="false">0</f>
        <v>0</v>
      </c>
      <c r="K58" s="11" t="n">
        <f aca="false">0</f>
        <v>0</v>
      </c>
      <c r="L58" s="11" t="n">
        <f aca="false">0</f>
        <v>0</v>
      </c>
      <c r="M58" s="11" t="n">
        <f aca="false">0</f>
        <v>0</v>
      </c>
    </row>
    <row r="59" customFormat="false" ht="15" hidden="false" customHeight="false" outlineLevel="0" collapsed="false">
      <c r="A59" s="2" t="s">
        <v>640</v>
      </c>
      <c r="B59" s="0" t="s">
        <v>166</v>
      </c>
      <c r="D59" s="11" t="n">
        <f aca="false">-((D52-C52)+(D53-C53)-(D54-C54))</f>
        <v>-539.961426503739</v>
      </c>
      <c r="E59" s="11" t="n">
        <f aca="false">-((E52-D52)+(E53-D53)-(E54-D54))</f>
        <v>-733.884212584207</v>
      </c>
      <c r="F59" s="11" t="n">
        <f aca="false">-((F52-E52)+(F53-E53)-(F54-E54))</f>
        <v>-787.238391163045</v>
      </c>
      <c r="G59" s="11" t="n">
        <f aca="false">-((G52-F52)+(G53-F53)-(G54-F54))</f>
        <v>-816.100436740464</v>
      </c>
      <c r="H59" s="11" t="n">
        <f aca="false">-((H52-G52)+(H53-G53)-(H54-G54))</f>
        <v>-792.762641506967</v>
      </c>
      <c r="I59" s="11" t="n">
        <f aca="false">-((I52-H52)+(I53-H53)-(I54-H54))</f>
        <v>-814.62780068659</v>
      </c>
      <c r="J59" s="11" t="n">
        <f aca="false">-((J52-I52)+(J53-I53)-(J54-I54))</f>
        <v>-819.193080653108</v>
      </c>
      <c r="K59" s="11" t="n">
        <f aca="false">-((K52-J52)+(K53-J53)-(K54-J54))</f>
        <v>-797.414749746803</v>
      </c>
      <c r="L59" s="11" t="n">
        <f aca="false">-((L52-K52)+(L53-K53)-(L54-K54))</f>
        <v>-746.69531351035</v>
      </c>
      <c r="M59" s="11" t="n">
        <f aca="false">-((M52-L52)+(M53-L53)-(M54-L54))</f>
        <v>-665.978371329481</v>
      </c>
    </row>
    <row r="60" customFormat="false" ht="17.15" hidden="false" customHeight="false" outlineLevel="0" collapsed="false">
      <c r="A60" s="2" t="s">
        <v>641</v>
      </c>
      <c r="B60" s="0" t="s">
        <v>166</v>
      </c>
      <c r="D60" s="11" t="n">
        <f aca="false">-(D55-C55)*(1-bi_adv)</f>
        <v>-16.5709156193896</v>
      </c>
      <c r="E60" s="11" t="n">
        <f aca="false">-(E55-D55)*(1-bi_adv)</f>
        <v>-35.75</v>
      </c>
      <c r="F60" s="11" t="n">
        <f aca="false">-(F55-E55)*(1-bi_adv)</f>
        <v>-37.128</v>
      </c>
      <c r="G60" s="11" t="n">
        <f aca="false">-(G55-F55)*(1-bi_adv)</f>
        <v>-38.2019274</v>
      </c>
      <c r="H60" s="11" t="n">
        <f aca="false">-(H55-G55)*(1-bi_adv)</f>
        <v>-36.7887969212399</v>
      </c>
      <c r="I60" s="11" t="n">
        <f aca="false">-(I55-H55)*(1-bi_adv)</f>
        <v>-37.8679497504987</v>
      </c>
      <c r="J60" s="11" t="n">
        <f aca="false">-(J55-I55)*(1-bi_adv)</f>
        <v>-37.8757714216458</v>
      </c>
      <c r="K60" s="11" t="n">
        <f aca="false">-(K55-J55)*(1-bi_adv)</f>
        <v>-36.6483938509345</v>
      </c>
      <c r="L60" s="11" t="n">
        <f aca="false">-(L55-K55)*(1-bi_adv)</f>
        <v>-34.0775764915459</v>
      </c>
      <c r="M60" s="11" t="n">
        <f aca="false">-(M55-L55)*(1-bi_adv)</f>
        <v>-30.1280275243463</v>
      </c>
    </row>
    <row r="61" customFormat="false" ht="15" hidden="false" customHeight="false" outlineLevel="0" collapsed="false">
      <c r="A61" s="2" t="s">
        <v>642</v>
      </c>
      <c r="B61" s="0" t="s">
        <v>166</v>
      </c>
      <c r="D61" s="11" t="n">
        <f aca="false">D56+D57+D58+D59+D60</f>
        <v>1858.24536034287</v>
      </c>
      <c r="E61" s="11" t="n">
        <f aca="false">E56+E57+E58+E59+E60</f>
        <v>2658.12084578234</v>
      </c>
      <c r="F61" s="11" t="n">
        <f aca="false">F56+F57+F58+F59+F60</f>
        <v>3473.93639554961</v>
      </c>
      <c r="G61" s="11" t="n">
        <f aca="false">G56+G57+G58+G59+G60</f>
        <v>3662.34031703854</v>
      </c>
      <c r="H61" s="11" t="n">
        <f aca="false">H56+H57+H58+H59+H60</f>
        <v>4237.6505113041</v>
      </c>
      <c r="I61" s="11" t="n">
        <f aca="false">I56+I57+I58+I59+I60</f>
        <v>4939.04848017506</v>
      </c>
      <c r="J61" s="11" t="n">
        <f aca="false">J56+J57+J58+J59+J60</f>
        <v>5651.92864294598</v>
      </c>
      <c r="K61" s="11" t="n">
        <f aca="false">K56+K57+K58+K59+K60</f>
        <v>6362.40435088632</v>
      </c>
      <c r="L61" s="11" t="n">
        <f aca="false">L56+L57+L58+L59+L60</f>
        <v>7125.10361078019</v>
      </c>
      <c r="M61" s="11" t="n">
        <f aca="false">M56+M57+M58+M59+M60</f>
        <v>7757.24321362428</v>
      </c>
    </row>
    <row r="62" customFormat="false" ht="15" hidden="false" customHeight="false" outlineLevel="0" collapsed="false">
      <c r="A62" s="2" t="s">
        <v>643</v>
      </c>
      <c r="B62" s="0" t="s">
        <v>166</v>
      </c>
      <c r="D62" s="11" t="n">
        <f aca="false">ytd_capex+capex_q4</f>
        <v>236</v>
      </c>
      <c r="E62" s="11" t="n">
        <f aca="false">PL!E43*mcx+Thesis!E55</f>
        <v>191.287533831994</v>
      </c>
      <c r="F62" s="11" t="n">
        <f aca="false">PL!F43*mcx+Thesis!F55</f>
        <v>350.143322148845</v>
      </c>
      <c r="G62" s="11" t="n">
        <f aca="false">PL!G43*mcx+Thesis!G55</f>
        <v>409.817246254043</v>
      </c>
      <c r="H62" s="11" t="n">
        <f aca="false">PL!H43*mcx+Thesis!H55</f>
        <v>450.703711126955</v>
      </c>
      <c r="I62" s="11" t="n">
        <f aca="false">PL!I43*mcx+Thesis!I55</f>
        <v>488.569592369454</v>
      </c>
      <c r="J62" s="11" t="n">
        <f aca="false">PL!J43*mcx+Thesis!J55</f>
        <v>521.763365697162</v>
      </c>
      <c r="K62" s="11" t="n">
        <f aca="false">PL!K43*mcx+Thesis!K55</f>
        <v>548.826185619073</v>
      </c>
      <c r="L62" s="11" t="n">
        <f aca="false">PL!L43*mcx+Thesis!L55</f>
        <v>568.472542808181</v>
      </c>
      <c r="M62" s="11" t="n">
        <f aca="false">PL!M43*mcx+Thesis!M55</f>
        <v>606.9050434555</v>
      </c>
    </row>
    <row r="63" customFormat="false" ht="15" hidden="false" customHeight="false" outlineLevel="0" collapsed="false">
      <c r="A63" s="2" t="s">
        <v>644</v>
      </c>
      <c r="B63" s="0" t="s">
        <v>166</v>
      </c>
      <c r="D63" s="11" t="n">
        <f aca="false">D61-D62</f>
        <v>1622.24536034287</v>
      </c>
      <c r="E63" s="11" t="n">
        <f aca="false">E61-E62</f>
        <v>2466.83331195035</v>
      </c>
      <c r="F63" s="11" t="n">
        <f aca="false">F61-F62</f>
        <v>3123.79307340076</v>
      </c>
      <c r="G63" s="11" t="n">
        <f aca="false">G61-G62</f>
        <v>3252.5230707845</v>
      </c>
      <c r="H63" s="11" t="n">
        <f aca="false">H61-H62</f>
        <v>3786.94680017714</v>
      </c>
      <c r="I63" s="11" t="n">
        <f aca="false">I61-I62</f>
        <v>4450.47888780561</v>
      </c>
      <c r="J63" s="11" t="n">
        <f aca="false">J61-J62</f>
        <v>5130.16527724882</v>
      </c>
      <c r="K63" s="11" t="n">
        <f aca="false">K61-K62</f>
        <v>5813.57816526725</v>
      </c>
      <c r="L63" s="11" t="n">
        <f aca="false">L61-L62</f>
        <v>6556.63106797201</v>
      </c>
      <c r="M63" s="11" t="n">
        <f aca="false">M61-M62</f>
        <v>7150.33817016878</v>
      </c>
    </row>
    <row r="64" customFormat="false" ht="17.15" hidden="false" customHeight="false" outlineLevel="0" collapsed="false">
      <c r="A64" s="0" t="s">
        <v>645</v>
      </c>
      <c r="B64" s="0" t="s">
        <v>166</v>
      </c>
      <c r="D64" s="11" t="n">
        <f aca="false">37+tra_q4</f>
        <v>37</v>
      </c>
      <c r="E64" s="11" t="n">
        <f aca="false">MIN(tra_0-tra_q4,tra_0/tra_yrs)</f>
        <v>142</v>
      </c>
      <c r="F64" s="11" t="n">
        <f aca="false">MIN(tra_0-tra_q4-SUM(E64:E64),tra_0/tra_yrs)</f>
        <v>142</v>
      </c>
      <c r="G64" s="11" t="n">
        <f aca="false">MIN(tra_0-tra_q4-SUM(E64:F64),tra_0/tra_yrs)</f>
        <v>142</v>
      </c>
      <c r="H64" s="11" t="n">
        <f aca="false">MIN(tra_0-tra_q4-SUM(E64:G64),tra_0/tra_yrs)</f>
        <v>142</v>
      </c>
      <c r="I64" s="11" t="n">
        <f aca="false">MIN(tra_0-tra_q4-SUM(E64:H64),tra_0/tra_yrs)</f>
        <v>142</v>
      </c>
      <c r="J64" s="11" t="n">
        <f aca="false">MIN(tra_0-tra_q4-SUM(E64:I64),tra_0/tra_yrs)</f>
        <v>142</v>
      </c>
      <c r="K64" s="11" t="n">
        <f aca="false">MIN(tra_0-tra_q4-SUM(E64:J64),tra_0/tra_yrs)</f>
        <v>142</v>
      </c>
      <c r="L64" s="11" t="n">
        <f aca="false">MIN(tra_0-tra_q4-SUM(E64:K64),tra_0/tra_yrs)</f>
        <v>142</v>
      </c>
      <c r="M64" s="11" t="n">
        <f aca="false">MIN(tra_0-tra_q4-SUM(E64:L64),tra_0/tra_yrs)</f>
        <v>142</v>
      </c>
    </row>
    <row r="65" customFormat="false" ht="15" hidden="false" customHeight="false" outlineLevel="0" collapsed="false">
      <c r="A65" s="2" t="s">
        <v>259</v>
      </c>
      <c r="B65" s="0" t="s">
        <v>166</v>
      </c>
      <c r="D65" s="11" t="n">
        <f aca="false">ncitax</f>
        <v>8</v>
      </c>
      <c r="E65" s="11" t="n">
        <f aca="false">ncitax</f>
        <v>8</v>
      </c>
      <c r="F65" s="11" t="n">
        <f aca="false">ncitax</f>
        <v>8</v>
      </c>
      <c r="G65" s="11" t="n">
        <f aca="false">ncitax</f>
        <v>8</v>
      </c>
      <c r="H65" s="11" t="n">
        <f aca="false">ncitax</f>
        <v>8</v>
      </c>
      <c r="I65" s="11" t="n">
        <f aca="false">ncitax</f>
        <v>8</v>
      </c>
      <c r="J65" s="11" t="n">
        <f aca="false">ncitax</f>
        <v>8</v>
      </c>
      <c r="K65" s="11" t="n">
        <f aca="false">ncitax</f>
        <v>8</v>
      </c>
      <c r="L65" s="11" t="n">
        <f aca="false">ncitax</f>
        <v>8</v>
      </c>
      <c r="M65" s="11" t="n">
        <f aca="false">ncitax</f>
        <v>8</v>
      </c>
    </row>
    <row r="66" customFormat="false" ht="15" hidden="false" customHeight="false" outlineLevel="0" collapsed="false">
      <c r="A66" s="2" t="s">
        <v>646</v>
      </c>
      <c r="B66" s="0" t="s">
        <v>166</v>
      </c>
      <c r="D66" s="11" t="n">
        <f aca="false">0</f>
        <v>0</v>
      </c>
      <c r="E66" s="11" t="n">
        <f aca="false">tlb*0.01+32</f>
        <v>48.6</v>
      </c>
      <c r="F66" s="11" t="n">
        <f aca="false">tlb*0.01+22</f>
        <v>38.6</v>
      </c>
      <c r="G66" s="11" t="n">
        <f aca="false">tlb*0.01+26</f>
        <v>42.6</v>
      </c>
      <c r="H66" s="11" t="n">
        <f aca="false">tlb*0.01+27</f>
        <v>43.6</v>
      </c>
      <c r="I66" s="11" t="n">
        <f aca="false">tlb*0.01</f>
        <v>16.6</v>
      </c>
      <c r="J66" s="11" t="n">
        <f aca="false">tlb*0.01</f>
        <v>16.6</v>
      </c>
      <c r="K66" s="11" t="n">
        <f aca="false">tlb-tlb*0.01*6</f>
        <v>1560.4</v>
      </c>
      <c r="L66" s="11" t="n">
        <f aca="false">0</f>
        <v>0</v>
      </c>
      <c r="M66" s="11" t="n">
        <f aca="false">0</f>
        <v>0</v>
      </c>
    </row>
    <row r="67" customFormat="false" ht="15" hidden="false" customHeight="false" outlineLevel="0" collapsed="false">
      <c r="A67" s="2" t="s">
        <v>647</v>
      </c>
      <c r="B67" s="0" t="s">
        <v>166</v>
      </c>
      <c r="D67" s="11" t="n">
        <f aca="false">redeem_cost</f>
        <v>50</v>
      </c>
      <c r="E67" s="11" t="n">
        <f aca="false">IF(2027=refi_yr,ssn_31*refi_prem,0)</f>
        <v>0</v>
      </c>
      <c r="F67" s="11" t="n">
        <f aca="false">IF(2028=refi_yr,ssn_31*refi_prem,0)</f>
        <v>102.105</v>
      </c>
      <c r="G67" s="11" t="n">
        <f aca="false">IF(2029=refi_yr,ssn_31*refi_prem,0)</f>
        <v>0</v>
      </c>
      <c r="H67" s="11" t="n">
        <f aca="false">IF(2030=refi_yr,ssn_31*refi_prem,0)</f>
        <v>0</v>
      </c>
      <c r="I67" s="11" t="n">
        <f aca="false">IF(2031=refi_yr,ssn_31*refi_prem,0)</f>
        <v>0</v>
      </c>
      <c r="J67" s="11" t="n">
        <f aca="false">IF(2032=refi_yr,ssn_31*refi_prem,0)</f>
        <v>0</v>
      </c>
      <c r="K67" s="11" t="n">
        <f aca="false">IF(2033=refi_yr,ssn_31*refi_prem,0)</f>
        <v>0</v>
      </c>
      <c r="L67" s="11" t="n">
        <f aca="false">IF(2034=refi_yr,ssn_31*refi_prem,0)</f>
        <v>0</v>
      </c>
      <c r="M67" s="11" t="n">
        <f aca="false">IF(2035=refi_yr,ssn_31*refi_prem,0)</f>
        <v>0</v>
      </c>
    </row>
    <row r="68" customFormat="false" ht="17.15" hidden="false" customHeight="false" outlineLevel="0" collapsed="false">
      <c r="A68" s="2" t="s">
        <v>648</v>
      </c>
      <c r="B68" s="0" t="s">
        <v>166</v>
      </c>
      <c r="D68" s="11" t="n">
        <f aca="false">D63-D64-D65-D66-D67</f>
        <v>1527.24536034287</v>
      </c>
      <c r="E68" s="11" t="n">
        <f aca="false">E63-E64-E65-E66-E67</f>
        <v>2268.23331195035</v>
      </c>
      <c r="F68" s="11" t="n">
        <f aca="false">F63-F64-F65-F66-F67</f>
        <v>2833.08807340076</v>
      </c>
      <c r="G68" s="11" t="n">
        <f aca="false">G63-G64-G65-G66-G67</f>
        <v>3059.9230707845</v>
      </c>
      <c r="H68" s="11" t="n">
        <f aca="false">H63-H64-H65-H66-H67</f>
        <v>3593.34680017714</v>
      </c>
      <c r="I68" s="11" t="n">
        <f aca="false">I63-I64-I65-I66-I67</f>
        <v>4283.87888780561</v>
      </c>
      <c r="J68" s="11" t="n">
        <f aca="false">J63-J64-J65-J66-J67</f>
        <v>4963.56527724882</v>
      </c>
      <c r="K68" s="11" t="n">
        <f aca="false">K63-K64-K65-K66-K67</f>
        <v>4103.17816526725</v>
      </c>
      <c r="L68" s="11" t="n">
        <f aca="false">L63-L64-L65-L66-L67</f>
        <v>6406.63106797201</v>
      </c>
      <c r="M68" s="11" t="n">
        <f aca="false">M63-M64-M65-M66-M67</f>
        <v>7000.33817016878</v>
      </c>
    </row>
    <row r="69" customFormat="false" ht="15" hidden="false" customHeight="false" outlineLevel="0" collapsed="false">
      <c r="A69" s="2" t="s">
        <v>649</v>
      </c>
      <c r="B69" s="0" t="s">
        <v>166</v>
      </c>
      <c r="D69" s="11" t="n">
        <f aca="false">C72+D68</f>
        <v>3854.24536034287</v>
      </c>
      <c r="E69" s="11" t="n">
        <f aca="false">D72+E68</f>
        <v>6122.47867229322</v>
      </c>
      <c r="F69" s="11" t="n">
        <f aca="false">E72+F68</f>
        <v>7833.08807340076</v>
      </c>
      <c r="G69" s="11" t="n">
        <f aca="false">F72+G68</f>
        <v>8059.9230707845</v>
      </c>
      <c r="H69" s="11" t="n">
        <f aca="false">G72+H68</f>
        <v>8593.34680017714</v>
      </c>
      <c r="I69" s="11" t="n">
        <f aca="false">H72+I68</f>
        <v>9283.87888780561</v>
      </c>
      <c r="J69" s="11" t="n">
        <f aca="false">I72+J68</f>
        <v>9963.56527724882</v>
      </c>
      <c r="K69" s="11" t="n">
        <f aca="false">J72+K68</f>
        <v>9103.17816526725</v>
      </c>
      <c r="L69" s="11" t="n">
        <f aca="false">K72+L68</f>
        <v>11406.631067972</v>
      </c>
      <c r="M69" s="11" t="n">
        <f aca="false">L72+M68</f>
        <v>12000.3381701688</v>
      </c>
    </row>
    <row r="70" customFormat="false" ht="15" hidden="false" customHeight="false" outlineLevel="0" collapsed="false">
      <c r="A70" s="2" t="s">
        <v>650</v>
      </c>
      <c r="B70" s="0" t="s">
        <v>166</v>
      </c>
      <c r="D70" s="11" t="n">
        <f aca="false">MAX(0,min_cash-D69)</f>
        <v>0</v>
      </c>
      <c r="E70" s="11" t="n">
        <f aca="false">MAX(0,min_cash-E69)</f>
        <v>0</v>
      </c>
      <c r="F70" s="11" t="n">
        <f aca="false">MAX(0,min_cash-F69)</f>
        <v>0</v>
      </c>
      <c r="G70" s="11" t="n">
        <f aca="false">MAX(0,min_cash-G69)</f>
        <v>0</v>
      </c>
      <c r="H70" s="11" t="n">
        <f aca="false">MAX(0,min_cash-H69)</f>
        <v>0</v>
      </c>
      <c r="I70" s="11" t="n">
        <f aca="false">MAX(0,min_cash-I69)</f>
        <v>0</v>
      </c>
      <c r="J70" s="11" t="n">
        <f aca="false">MAX(0,min_cash-J69)</f>
        <v>0</v>
      </c>
      <c r="K70" s="11" t="n">
        <f aca="false">MAX(0,min_cash-K69)</f>
        <v>0</v>
      </c>
      <c r="L70" s="11" t="n">
        <f aca="false">MAX(0,min_cash-L69)</f>
        <v>0</v>
      </c>
      <c r="M70" s="11" t="n">
        <f aca="false">MAX(0,min_cash-M69)</f>
        <v>0</v>
      </c>
    </row>
    <row r="71" customFormat="false" ht="15" hidden="false" customHeight="false" outlineLevel="0" collapsed="false">
      <c r="A71" s="2" t="s">
        <v>651</v>
      </c>
      <c r="B71" s="0" t="s">
        <v>166</v>
      </c>
      <c r="D71" s="11" t="n">
        <f aca="false">MAX(0,D69-cash_cap)</f>
        <v>0</v>
      </c>
      <c r="E71" s="11" t="n">
        <f aca="false">MAX(0,E69-cash_cap)</f>
        <v>1122.47867229322</v>
      </c>
      <c r="F71" s="11" t="n">
        <f aca="false">MAX(0,F69-cash_cap)</f>
        <v>2833.08807340076</v>
      </c>
      <c r="G71" s="11" t="n">
        <f aca="false">MAX(0,G69-cash_cap)</f>
        <v>3059.9230707845</v>
      </c>
      <c r="H71" s="11" t="n">
        <f aca="false">MAX(0,H69-cash_cap)</f>
        <v>3593.34680017714</v>
      </c>
      <c r="I71" s="11" t="n">
        <f aca="false">MAX(0,I69-cash_cap)</f>
        <v>4283.87888780561</v>
      </c>
      <c r="J71" s="11" t="n">
        <f aca="false">MAX(0,J69-cash_cap)</f>
        <v>4963.56527724882</v>
      </c>
      <c r="K71" s="11" t="n">
        <f aca="false">MAX(0,K69-cash_cap)</f>
        <v>4103.17816526725</v>
      </c>
      <c r="L71" s="11" t="n">
        <f aca="false">MAX(0,L69-cash_cap)</f>
        <v>6406.63106797201</v>
      </c>
      <c r="M71" s="11" t="n">
        <f aca="false">MAX(0,M69-cash_cap)</f>
        <v>7000.33817016878</v>
      </c>
    </row>
    <row r="72" customFormat="false" ht="15" hidden="false" customHeight="false" outlineLevel="0" collapsed="false">
      <c r="A72" s="2" t="s">
        <v>652</v>
      </c>
      <c r="B72" s="0" t="s">
        <v>166</v>
      </c>
      <c r="C72" s="0" t="n">
        <f aca="false">d25_cash</f>
        <v>2327</v>
      </c>
      <c r="D72" s="11" t="n">
        <f aca="false">D69+D70-D71</f>
        <v>3854.24536034287</v>
      </c>
      <c r="E72" s="11" t="n">
        <f aca="false">E69+E70-E71</f>
        <v>5000</v>
      </c>
      <c r="F72" s="11" t="n">
        <f aca="false">F69+F70-F71</f>
        <v>5000</v>
      </c>
      <c r="G72" s="11" t="n">
        <f aca="false">G69+G70-G71</f>
        <v>5000</v>
      </c>
      <c r="H72" s="11" t="n">
        <f aca="false">H69+H70-H71</f>
        <v>5000</v>
      </c>
      <c r="I72" s="11" t="n">
        <f aca="false">I69+I70-I71</f>
        <v>5000</v>
      </c>
      <c r="J72" s="11" t="n">
        <f aca="false">J69+J70-J71</f>
        <v>5000</v>
      </c>
      <c r="K72" s="11" t="n">
        <f aca="false">K69+K70-K71</f>
        <v>5000</v>
      </c>
      <c r="L72" s="11" t="n">
        <f aca="false">L69+L70-L71</f>
        <v>5000</v>
      </c>
      <c r="M72" s="11" t="n">
        <f aca="false">M69+M70-M71</f>
        <v>5000</v>
      </c>
    </row>
    <row r="73" customFormat="false" ht="15" hidden="false" customHeight="false" outlineLevel="0" collapsed="false">
      <c r="A73" s="9" t="s">
        <v>653</v>
      </c>
    </row>
    <row r="74" customFormat="false" ht="17.15" hidden="false" customHeight="false" outlineLevel="0" collapsed="false">
      <c r="A74" s="2" t="s">
        <v>654</v>
      </c>
      <c r="B74" s="0" t="s">
        <v>166</v>
      </c>
      <c r="C74" s="11" t="n">
        <f aca="false">0</f>
        <v>0</v>
      </c>
      <c r="D74" s="11" t="n">
        <f aca="false">tlb</f>
        <v>1660</v>
      </c>
      <c r="E74" s="11" t="n">
        <f aca="false">tlb-tlb*0.01*1</f>
        <v>1643.4</v>
      </c>
      <c r="F74" s="11" t="n">
        <f aca="false">tlb-tlb*0.01*2</f>
        <v>1626.8</v>
      </c>
      <c r="G74" s="11" t="n">
        <f aca="false">tlb-tlb*0.01*3</f>
        <v>1610.2</v>
      </c>
      <c r="H74" s="11" t="n">
        <f aca="false">tlb-tlb*0.01*4</f>
        <v>1593.6</v>
      </c>
      <c r="I74" s="11" t="n">
        <f aca="false">tlb-tlb*0.01*5</f>
        <v>1577</v>
      </c>
      <c r="J74" s="11" t="n">
        <f aca="false">tlb-tlb*0.01*6</f>
        <v>1560.4</v>
      </c>
      <c r="K74" s="11" t="n">
        <f aca="false">0</f>
        <v>0</v>
      </c>
      <c r="L74" s="11" t="n">
        <f aca="false">0</f>
        <v>0</v>
      </c>
      <c r="M74" s="11" t="n">
        <f aca="false">0</f>
        <v>0</v>
      </c>
    </row>
    <row r="75" customFormat="false" ht="17.15" hidden="false" customHeight="false" outlineLevel="0" collapsed="false">
      <c r="A75" s="0" t="s">
        <v>655</v>
      </c>
      <c r="B75" s="0" t="s">
        <v>166</v>
      </c>
      <c r="C75" s="11" t="n">
        <f aca="false">tlb_old</f>
        <v>1660</v>
      </c>
      <c r="D75" s="11" t="n">
        <f aca="false">0</f>
        <v>0</v>
      </c>
      <c r="E75" s="11" t="n">
        <f aca="false">0</f>
        <v>0</v>
      </c>
      <c r="F75" s="11" t="n">
        <f aca="false">0</f>
        <v>0</v>
      </c>
      <c r="G75" s="11" t="n">
        <f aca="false">0</f>
        <v>0</v>
      </c>
      <c r="H75" s="11" t="n">
        <f aca="false">0</f>
        <v>0</v>
      </c>
      <c r="I75" s="11" t="n">
        <f aca="false">0</f>
        <v>0</v>
      </c>
      <c r="J75" s="11" t="n">
        <f aca="false">0</f>
        <v>0</v>
      </c>
      <c r="K75" s="11" t="n">
        <f aca="false">0</f>
        <v>0</v>
      </c>
      <c r="L75" s="11" t="n">
        <f aca="false">0</f>
        <v>0</v>
      </c>
      <c r="M75" s="11" t="n">
        <f aca="false">0</f>
        <v>0</v>
      </c>
    </row>
    <row r="76" customFormat="false" ht="17.15" hidden="false" customHeight="false" outlineLevel="0" collapsed="false">
      <c r="A76" s="0" t="s">
        <v>656</v>
      </c>
      <c r="B76" s="0" t="s">
        <v>166</v>
      </c>
      <c r="C76" s="11" t="n">
        <f aca="false">IF(2025&lt;refi_yr,ssn_31,0)</f>
        <v>2269</v>
      </c>
      <c r="D76" s="11" t="n">
        <f aca="false">IF(2026&lt;refi_yr,ssn_31,0)</f>
        <v>2269</v>
      </c>
      <c r="E76" s="11" t="n">
        <f aca="false">IF(2027&lt;refi_yr,ssn_31,0)</f>
        <v>2269</v>
      </c>
      <c r="F76" s="11" t="n">
        <f aca="false">IF(2028&lt;refi_yr,ssn_31,0)</f>
        <v>0</v>
      </c>
      <c r="G76" s="11" t="n">
        <f aca="false">IF(2029&lt;refi_yr,ssn_31,0)</f>
        <v>0</v>
      </c>
      <c r="H76" s="11" t="n">
        <f aca="false">IF(2030&lt;refi_yr,ssn_31,0)</f>
        <v>0</v>
      </c>
      <c r="I76" s="11" t="n">
        <f aca="false">IF(2031&lt;refi_yr,ssn_31,0)</f>
        <v>0</v>
      </c>
      <c r="J76" s="11" t="n">
        <f aca="false">IF(2032&lt;refi_yr,ssn_31,0)</f>
        <v>0</v>
      </c>
      <c r="K76" s="11" t="n">
        <f aca="false">IF(2033&lt;refi_yr,ssn_31,0)</f>
        <v>0</v>
      </c>
      <c r="L76" s="11" t="n">
        <f aca="false">IF(2034&lt;refi_yr,ssn_31,0)</f>
        <v>0</v>
      </c>
      <c r="M76" s="11" t="n">
        <f aca="false">IF(2035&lt;refi_yr,ssn_31,0)</f>
        <v>0</v>
      </c>
    </row>
    <row r="77" customFormat="false" ht="17.15" hidden="false" customHeight="false" outlineLevel="0" collapsed="false">
      <c r="A77" s="0" t="s">
        <v>657</v>
      </c>
      <c r="B77" s="0" t="s">
        <v>166</v>
      </c>
      <c r="C77" s="11" t="n">
        <f aca="false">IF(2025&gt;=refi_yr,ssn_31*(1+0),0)</f>
        <v>0</v>
      </c>
      <c r="D77" s="11" t="n">
        <f aca="false">IF(2026&gt;=refi_yr,ssn_31*(1+0),0)</f>
        <v>0</v>
      </c>
      <c r="E77" s="11" t="n">
        <f aca="false">IF(2027&gt;=refi_yr,ssn_31*(1+0),0)</f>
        <v>0</v>
      </c>
      <c r="F77" s="11" t="n">
        <f aca="false">IF(2028&gt;=refi_yr,ssn_31*(1+0),0)</f>
        <v>2269</v>
      </c>
      <c r="G77" s="11" t="n">
        <f aca="false">IF(2029&gt;=refi_yr,ssn_31*(1+0),0)</f>
        <v>2269</v>
      </c>
      <c r="H77" s="11" t="n">
        <f aca="false">IF(2030&gt;=refi_yr,ssn_31*(1+0),0)</f>
        <v>2269</v>
      </c>
      <c r="I77" s="11" t="n">
        <f aca="false">IF(2031&gt;=refi_yr,ssn_31*(1+0),0)</f>
        <v>2269</v>
      </c>
      <c r="J77" s="11" t="n">
        <f aca="false">IF(2032&gt;=refi_yr,ssn_31*(1+0),0)</f>
        <v>2269</v>
      </c>
      <c r="K77" s="11" t="n">
        <f aca="false">IF(2033&gt;=refi_yr,ssn_31*(1+0),0)</f>
        <v>2269</v>
      </c>
      <c r="L77" s="11" t="n">
        <f aca="false">IF(2034&gt;=refi_yr,ssn_31*(1+0),0)</f>
        <v>2269</v>
      </c>
      <c r="M77" s="11" t="n">
        <f aca="false">IF(2035&gt;=refi_yr,ssn_31*(1+0),0)</f>
        <v>2269</v>
      </c>
    </row>
    <row r="78" customFormat="false" ht="15" hidden="false" customHeight="false" outlineLevel="0" collapsed="false">
      <c r="A78" s="2" t="s">
        <v>658</v>
      </c>
      <c r="B78" s="0" t="s">
        <v>166</v>
      </c>
      <c r="C78" s="11" t="n">
        <f aca="false">uns</f>
        <v>107</v>
      </c>
      <c r="D78" s="11" t="n">
        <f aca="false">uns</f>
        <v>107</v>
      </c>
      <c r="E78" s="11" t="n">
        <f aca="false">uns-32</f>
        <v>75</v>
      </c>
      <c r="F78" s="11" t="n">
        <f aca="false">uns-32-22</f>
        <v>53</v>
      </c>
      <c r="G78" s="11" t="n">
        <f aca="false">uns-32-22-26</f>
        <v>27</v>
      </c>
      <c r="H78" s="11" t="n">
        <f aca="false">0</f>
        <v>0</v>
      </c>
      <c r="I78" s="11" t="n">
        <f aca="false">0</f>
        <v>0</v>
      </c>
      <c r="J78" s="11" t="n">
        <f aca="false">0</f>
        <v>0</v>
      </c>
      <c r="K78" s="11" t="n">
        <f aca="false">0</f>
        <v>0</v>
      </c>
      <c r="L78" s="11" t="n">
        <f aca="false">0</f>
        <v>0</v>
      </c>
      <c r="M78" s="11" t="n">
        <f aca="false">0</f>
        <v>0</v>
      </c>
    </row>
    <row r="79" customFormat="false" ht="15" hidden="false" customHeight="false" outlineLevel="0" collapsed="false">
      <c r="A79" s="2" t="s">
        <v>305</v>
      </c>
      <c r="B79" s="0" t="s">
        <v>166</v>
      </c>
      <c r="C79" s="11" t="n">
        <f aca="false">re_fin</f>
        <v>485</v>
      </c>
      <c r="D79" s="11" t="n">
        <f aca="false">re_fin</f>
        <v>485</v>
      </c>
      <c r="E79" s="11" t="n">
        <f aca="false">re_fin</f>
        <v>485</v>
      </c>
      <c r="F79" s="11" t="n">
        <f aca="false">re_fin</f>
        <v>485</v>
      </c>
      <c r="G79" s="11" t="n">
        <f aca="false">re_fin</f>
        <v>485</v>
      </c>
      <c r="H79" s="11" t="n">
        <f aca="false">re_fin</f>
        <v>485</v>
      </c>
      <c r="I79" s="11" t="n">
        <f aca="false">re_fin</f>
        <v>485</v>
      </c>
      <c r="J79" s="11" t="n">
        <f aca="false">re_fin</f>
        <v>485</v>
      </c>
      <c r="K79" s="11" t="n">
        <f aca="false">re_fin</f>
        <v>485</v>
      </c>
      <c r="L79" s="11" t="n">
        <f aca="false">re_fin</f>
        <v>485</v>
      </c>
      <c r="M79" s="11" t="n">
        <f aca="false">re_fin</f>
        <v>485</v>
      </c>
    </row>
    <row r="80" customFormat="false" ht="15" hidden="false" customHeight="false" outlineLevel="0" collapsed="false">
      <c r="A80" s="2" t="s">
        <v>659</v>
      </c>
      <c r="B80" s="0" t="s">
        <v>166</v>
      </c>
      <c r="C80" s="11" t="n">
        <f aca="false">bi_adv*C55</f>
        <v>372.57091561939</v>
      </c>
      <c r="D80" s="11" t="n">
        <f aca="false">bi_adv*D55</f>
        <v>427</v>
      </c>
      <c r="E80" s="11" t="n">
        <f aca="false">bi_adv*E55</f>
        <v>544.425</v>
      </c>
      <c r="F80" s="11" t="n">
        <f aca="false">bi_adv*F55</f>
        <v>666.3762</v>
      </c>
      <c r="G80" s="11" t="n">
        <f aca="false">bi_adv*G55</f>
        <v>791.85483846</v>
      </c>
      <c r="H80" s="11" t="n">
        <f aca="false">bi_adv*H55</f>
        <v>912.691886808996</v>
      </c>
      <c r="I80" s="11" t="n">
        <f aca="false">bi_adv*I55</f>
        <v>1037.07353714333</v>
      </c>
      <c r="J80" s="11" t="n">
        <f aca="false">bi_adv*J55</f>
        <v>1161.48087865904</v>
      </c>
      <c r="K80" s="11" t="n">
        <f aca="false">bi_adv*K55</f>
        <v>1281.85675692326</v>
      </c>
      <c r="L80" s="11" t="n">
        <f aca="false">bi_adv*L55</f>
        <v>1393.7884889378</v>
      </c>
      <c r="M80" s="11" t="n">
        <f aca="false">bi_adv*M55</f>
        <v>1492.74747165239</v>
      </c>
    </row>
    <row r="81" customFormat="false" ht="15" hidden="false" customHeight="false" outlineLevel="0" collapsed="false">
      <c r="A81" s="2" t="s">
        <v>660</v>
      </c>
      <c r="B81" s="0" t="s">
        <v>166</v>
      </c>
      <c r="C81" s="11" t="n">
        <f aca="false">fleet+finls</f>
        <v>260</v>
      </c>
      <c r="D81" s="11" t="n">
        <f aca="false">fleet+finls</f>
        <v>260</v>
      </c>
      <c r="E81" s="11" t="n">
        <f aca="false">fleet+finls</f>
        <v>260</v>
      </c>
      <c r="F81" s="11" t="n">
        <f aca="false">fleet+finls</f>
        <v>260</v>
      </c>
      <c r="G81" s="11" t="n">
        <f aca="false">fleet+finls</f>
        <v>260</v>
      </c>
      <c r="H81" s="11" t="n">
        <f aca="false">fleet+finls</f>
        <v>260</v>
      </c>
      <c r="I81" s="11" t="n">
        <f aca="false">fleet+finls</f>
        <v>260</v>
      </c>
      <c r="J81" s="11" t="n">
        <f aca="false">fleet+finls</f>
        <v>260</v>
      </c>
      <c r="K81" s="11" t="n">
        <f aca="false">fleet+finls</f>
        <v>260</v>
      </c>
      <c r="L81" s="11" t="n">
        <f aca="false">fleet+finls</f>
        <v>260</v>
      </c>
      <c r="M81" s="11" t="n">
        <f aca="false">fleet+finls</f>
        <v>260</v>
      </c>
    </row>
    <row r="82" customFormat="false" ht="17.15" hidden="false" customHeight="false" outlineLevel="0" collapsed="false">
      <c r="A82" s="2" t="s">
        <v>661</v>
      </c>
      <c r="B82" s="0" t="s">
        <v>166</v>
      </c>
      <c r="C82" s="11" t="n">
        <f aca="false">fp_ratio*C52</f>
        <v>49.4699074074074</v>
      </c>
      <c r="D82" s="11" t="n">
        <f aca="false">fp_ratio*D52</f>
        <v>67.6242223250523</v>
      </c>
      <c r="E82" s="11" t="n">
        <f aca="false">fp_ratio*E52</f>
        <v>85.9407432005233</v>
      </c>
      <c r="F82" s="11" t="n">
        <f aca="false">fp_ratio*F52</f>
        <v>105.618532718558</v>
      </c>
      <c r="G82" s="11" t="n">
        <f aca="false">fp_ratio*G52</f>
        <v>126.000789644723</v>
      </c>
      <c r="H82" s="11" t="n">
        <f aca="false">fp_ratio*H52</f>
        <v>145.783392110518</v>
      </c>
      <c r="I82" s="11" t="n">
        <f aca="false">fp_ratio*I52</f>
        <v>166.06080506634</v>
      </c>
      <c r="J82" s="11" t="n">
        <f aca="false">fp_ratio*J52</f>
        <v>186.43169664444</v>
      </c>
      <c r="K82" s="11" t="n">
        <f aca="false">fp_ratio*K52</f>
        <v>206.240634554005</v>
      </c>
      <c r="L82" s="11" t="n">
        <f aca="false">fp_ratio*L52</f>
        <v>224.768875985972</v>
      </c>
      <c r="M82" s="11" t="n">
        <f aca="false">fp_ratio*M52</f>
        <v>241.272740864822</v>
      </c>
    </row>
    <row r="83" customFormat="false" ht="15" hidden="false" customHeight="false" outlineLevel="0" collapsed="false">
      <c r="A83" s="2" t="s">
        <v>662</v>
      </c>
      <c r="B83" s="0" t="s">
        <v>166</v>
      </c>
      <c r="C83" s="11" t="n">
        <f aca="false">0</f>
        <v>0</v>
      </c>
      <c r="D83" s="11" t="n">
        <f aca="false">C83+D70</f>
        <v>0</v>
      </c>
      <c r="E83" s="11" t="n">
        <f aca="false">D83+E70</f>
        <v>0</v>
      </c>
      <c r="F83" s="11" t="n">
        <f aca="false">E83+F70</f>
        <v>0</v>
      </c>
      <c r="G83" s="11" t="n">
        <f aca="false">F83+G70</f>
        <v>0</v>
      </c>
      <c r="H83" s="11" t="n">
        <f aca="false">G83+H70</f>
        <v>0</v>
      </c>
      <c r="I83" s="11" t="n">
        <f aca="false">H83+I70</f>
        <v>0</v>
      </c>
      <c r="J83" s="11" t="n">
        <f aca="false">I83+J70</f>
        <v>0</v>
      </c>
      <c r="K83" s="11" t="n">
        <f aca="false">J83+K70</f>
        <v>0</v>
      </c>
      <c r="L83" s="11" t="n">
        <f aca="false">K83+L70</f>
        <v>0</v>
      </c>
      <c r="M83" s="11" t="n">
        <f aca="false">L83+M70</f>
        <v>0</v>
      </c>
    </row>
    <row r="84" customFormat="false" ht="15" hidden="false" customHeight="false" outlineLevel="0" collapsed="false">
      <c r="A84" s="2" t="s">
        <v>663</v>
      </c>
      <c r="B84" s="0" t="s">
        <v>166</v>
      </c>
      <c r="C84" s="11" t="n">
        <f aca="false">SUM(C74:C83)</f>
        <v>5203.0408230268</v>
      </c>
      <c r="D84" s="11" t="n">
        <f aca="false">SUM(D74:D83)</f>
        <v>5275.62422232505</v>
      </c>
      <c r="E84" s="11" t="n">
        <f aca="false">SUM(E74:E83)</f>
        <v>5362.76574320052</v>
      </c>
      <c r="F84" s="11" t="n">
        <f aca="false">SUM(F74:F83)</f>
        <v>5465.79473271856</v>
      </c>
      <c r="G84" s="11" t="n">
        <f aca="false">SUM(G74:G83)</f>
        <v>5569.05562810472</v>
      </c>
      <c r="H84" s="11" t="n">
        <f aca="false">SUM(H74:H83)</f>
        <v>5666.07527891951</v>
      </c>
      <c r="I84" s="11" t="n">
        <f aca="false">SUM(I74:I83)</f>
        <v>5794.13434220967</v>
      </c>
      <c r="J84" s="11" t="n">
        <f aca="false">SUM(J74:J83)</f>
        <v>5922.31257530348</v>
      </c>
      <c r="K84" s="11" t="n">
        <f aca="false">SUM(K74:K83)</f>
        <v>4502.09739147727</v>
      </c>
      <c r="L84" s="11" t="n">
        <f aca="false">SUM(L74:L83)</f>
        <v>4632.55736492377</v>
      </c>
      <c r="M84" s="11" t="n">
        <f aca="false">SUM(M74:M83)</f>
        <v>4748.02021251721</v>
      </c>
    </row>
    <row r="85" customFormat="false" ht="15" hidden="false" customHeight="false" outlineLevel="0" collapsed="false">
      <c r="A85" s="2" t="s">
        <v>510</v>
      </c>
      <c r="B85" s="0" t="s">
        <v>166</v>
      </c>
      <c r="D85" s="11" t="n">
        <f aca="false">ytd_int+int_lq-tlb*(ssn_r-swap_fix-tlb_sp)*1.5/12</f>
        <v>390.407875</v>
      </c>
      <c r="E85" s="11" t="n">
        <f aca="false">D74*(IF(2027&lt;=2028,swap_fix,sofr)+tlb_sp)+IF(2027=refi_yr,ssn_31*(ssn_r*7.5/12+(sofr+refi_sp)*(12-7.5)/12),D76*ssn_r+D77*(sofr+refi_sp))+D78*uns_r+D79*re_r+D80*bi_r+fleet*fleet_r+finls*finls_r+D82*fp_r+D83*(sofr+new_r_sp)+int_cal*Thesis!E42/Thesis!D42-D72*cash_y</f>
        <v>361.032467859232</v>
      </c>
      <c r="F85" s="11" t="n">
        <f aca="false">E74*(IF(2028&lt;=2028,swap_fix,sofr)+tlb_sp)+IF(2028=refi_yr,ssn_31*(ssn_r*7.5/12+(sofr+refi_sp)*(12-7.5)/12),E76*ssn_r+E77*(sofr+refi_sp))+E78*uns_r+E79*re_r+E80*bi_r+fleet*fleet_r+finls*finls_r+E82*fp_r+E83*(sofr+new_r_sp)+int_cal*Thesis!F42/Thesis!D42-E72*cash_y</f>
        <v>327.552615789879</v>
      </c>
      <c r="G85" s="11" t="n">
        <f aca="false">F74*(IF(2029&lt;=2028,swap_fix,sofr)+tlb_sp)+IF(2029=refi_yr,ssn_31*(ssn_r*7.5/12+(sofr+refi_sp)*(12-7.5)/12),F76*ssn_r+F77*(sofr+refi_sp))+F78*uns_r+F79*re_r+F80*bi_r+fleet*fleet_r+finls*finls_r+F82*fp_r+F83*(sofr+new_r_sp)+int_cal*Thesis!G42/Thesis!D42-F72*cash_y</f>
        <v>320.612954756194</v>
      </c>
      <c r="H85" s="11" t="n">
        <f aca="false">G74*(IF(2030&lt;=2028,swap_fix,sofr)+tlb_sp)+IF(2030=refi_yr,ssn_31*(ssn_r*7.5/12+(sofr+refi_sp)*(12-7.5)/12),G76*ssn_r+G77*(sofr+refi_sp))+G78*uns_r+G79*re_r+G80*bi_r+fleet*fleet_r+finls*finls_r+G82*fp_r+G83*(sofr+new_r_sp)+int_cal*Thesis!H42/Thesis!D42-G72*cash_y</f>
        <v>347.86122407995</v>
      </c>
      <c r="I85" s="11" t="n">
        <f aca="false">H74*(IF(2031&lt;=2028,swap_fix,sofr)+tlb_sp)+IF(2031=refi_yr,ssn_31*(ssn_r*7.5/12+(sofr+refi_sp)*(12-7.5)/12),H76*ssn_r+H77*(sofr+refi_sp))+H78*uns_r+H79*re_r+H80*bi_r+fleet*fleet_r+finls*finls_r+H82*fp_r+H83*(sofr+new_r_sp)+int_cal*Thesis!I42/Thesis!D42-H72*cash_y</f>
        <v>375.287424763771</v>
      </c>
      <c r="J85" s="11" t="n">
        <f aca="false">I74*(IF(2032&lt;=2028,swap_fix,sofr)+tlb_sp)+IF(2032=refi_yr,ssn_31*(ssn_r*7.5/12+(sofr+refi_sp)*(12-7.5)/12),I76*ssn_r+I77*(sofr+refi_sp))+I78*uns_r+I79*re_r+I80*bi_r+fleet*fleet_r+finls*finls_r+I82*fp_r+I83*(sofr+new_r_sp)+int_cal*Thesis!J42/Thesis!D42-I72*cash_y</f>
        <v>404.776469410502</v>
      </c>
      <c r="K85" s="11" t="n">
        <f aca="false">J74*(IF(2033&lt;=2028,swap_fix,sofr)+tlb_sp)+IF(2033=refi_yr,ssn_31*(ssn_r*7.5/12+(sofr+refi_sp)*(12-7.5)/12),J76*ssn_r+J77*(sofr+refi_sp))+J78*uns_r+J79*re_r+J80*bi_r+fleet*fleet_r+finls*finls_r+J82*fp_r+J83*(sofr+new_r_sp)+int_cal*Thesis!K42/Thesis!D42-J72*cash_y</f>
        <v>433.59393536554</v>
      </c>
      <c r="L85" s="11" t="n">
        <f aca="false">K74*(IF(2034&lt;=2028,swap_fix,sofr)+tlb_sp)+IF(2034=refi_yr,ssn_31*(ssn_r*7.5/12+(sofr+refi_sp)*(12-7.5)/12),K76*ssn_r+K77*(sofr+refi_sp))+K78*uns_r+K79*re_r+K80*bi_r+fleet*fleet_r+finls*finls_r+K82*fp_r+K83*(sofr+new_r_sp)+int_cal*Thesis!L42/Thesis!D42-K72*cash_y</f>
        <v>365.27828532688</v>
      </c>
      <c r="M85" s="11" t="n">
        <f aca="false">L74*(IF(2035&lt;=2028,swap_fix,sofr)+tlb_sp)+IF(2035=refi_yr,ssn_31*(ssn_r*7.5/12+(sofr+refi_sp)*(12-7.5)/12),L76*ssn_r+L77*(sofr+refi_sp))+L78*uns_r+L79*re_r+L80*bi_r+fleet*fleet_r+finls*finls_r+L82*fp_r+L83*(sofr+new_r_sp)+int_cal*Thesis!M42/Thesis!D42-L72*cash_y</f>
        <v>390.567202487409</v>
      </c>
    </row>
    <row r="88" customFormat="false" ht="17.15" hidden="false" customHeight="false" outlineLevel="0" collapsed="false">
      <c r="A88" s="9" t="s">
        <v>578</v>
      </c>
    </row>
    <row r="89" customFormat="false" ht="15" hidden="false" customHeight="false" outlineLevel="0" collapsed="false">
      <c r="A89" s="4" t="s">
        <v>14</v>
      </c>
      <c r="B89" s="4" t="s">
        <v>15</v>
      </c>
      <c r="C89" s="8" t="s">
        <v>554</v>
      </c>
      <c r="D89" s="8" t="s">
        <v>555</v>
      </c>
      <c r="E89" s="8" t="s">
        <v>556</v>
      </c>
      <c r="F89" s="8" t="s">
        <v>557</v>
      </c>
      <c r="G89" s="8" t="s">
        <v>558</v>
      </c>
      <c r="H89" s="8" t="s">
        <v>559</v>
      </c>
      <c r="I89" s="8" t="s">
        <v>560</v>
      </c>
      <c r="J89" s="8" t="s">
        <v>561</v>
      </c>
      <c r="K89" s="8" t="s">
        <v>562</v>
      </c>
      <c r="L89" s="8" t="s">
        <v>563</v>
      </c>
      <c r="M89" s="8" t="s">
        <v>564</v>
      </c>
    </row>
    <row r="90" customFormat="false" ht="15" hidden="false" customHeight="false" outlineLevel="0" collapsed="false">
      <c r="A90" s="2" t="s">
        <v>518</v>
      </c>
      <c r="B90" s="0" t="s">
        <v>166</v>
      </c>
      <c r="C90" s="11" t="n">
        <f aca="false">d25_inv</f>
        <v>2408</v>
      </c>
      <c r="D90" s="11" t="n">
        <f aca="false">inv_d*(PL!D67-PL!D74)/365</f>
        <v>3291.68045570959</v>
      </c>
      <c r="E90" s="11" t="n">
        <f aca="false">inv_d_C*(PL!E67-PL!E74)/365</f>
        <v>3620.58264869706</v>
      </c>
      <c r="F90" s="11" t="n">
        <f aca="false">inv_d_C28*(PL!F67-PL!F74)/365</f>
        <v>3589.67056040899</v>
      </c>
      <c r="G90" s="11" t="n">
        <f aca="false">inv_d*(PL!G67-PL!G74)/365</f>
        <v>3622.75145367198</v>
      </c>
      <c r="H90" s="11" t="n">
        <f aca="false">inv_d*(PL!H67-PL!H74)/365</f>
        <v>4053.52853259792</v>
      </c>
      <c r="I90" s="11" t="n">
        <f aca="false">inv_d*(PL!I67-PL!I74)/365</f>
        <v>4508.65210345961</v>
      </c>
      <c r="J90" s="11" t="n">
        <f aca="false">inv_d*(PL!J67-PL!J74)/365</f>
        <v>4959.31996492615</v>
      </c>
      <c r="K90" s="11" t="n">
        <f aca="false">inv_d*(PL!K67-PL!K74)/365</f>
        <v>5393.93786280578</v>
      </c>
      <c r="L90" s="11" t="n">
        <f aca="false">inv_d*(PL!L67-PL!L74)/365</f>
        <v>5800.20590432193</v>
      </c>
      <c r="M90" s="11" t="n">
        <f aca="false">inv_d*(PL!M67-PL!M74)/365</f>
        <v>6165.64503612218</v>
      </c>
    </row>
    <row r="91" customFormat="false" ht="15" hidden="false" customHeight="false" outlineLevel="0" collapsed="false">
      <c r="A91" s="2" t="s">
        <v>519</v>
      </c>
      <c r="B91" s="0" t="s">
        <v>166</v>
      </c>
      <c r="C91" s="11" t="n">
        <f aca="false">d25_frhfs</f>
        <v>813</v>
      </c>
      <c r="D91" s="11" t="n">
        <f aca="false">fr_d*Thesis!D69/365</f>
        <v>853.595178082192</v>
      </c>
      <c r="E91" s="11" t="n">
        <f aca="false">fr_d*Thesis!E69/365</f>
        <v>783.600373479452</v>
      </c>
      <c r="F91" s="11" t="n">
        <f aca="false">fr_d*Thesis!F69/365</f>
        <v>839.235999996493</v>
      </c>
      <c r="G91" s="11" t="n">
        <f aca="false">fr_d*Thesis!G69/365</f>
        <v>920.222273996155</v>
      </c>
      <c r="H91" s="11" t="n">
        <f aca="false">fr_d*Thesis!H69/365</f>
        <v>1032.48939142369</v>
      </c>
      <c r="I91" s="11" t="n">
        <f aca="false">fr_d*Thesis!I69/365</f>
        <v>1145.81542702635</v>
      </c>
      <c r="J91" s="11" t="n">
        <f aca="false">fr_d*Thesis!J69/365</f>
        <v>1257.55534746996</v>
      </c>
      <c r="K91" s="11" t="n">
        <f aca="false">fr_d*Thesis!K69/365</f>
        <v>1364.7996675022</v>
      </c>
      <c r="L91" s="11" t="n">
        <f aca="false">fr_d*Thesis!L69/365</f>
        <v>1464.48463521656</v>
      </c>
      <c r="M91" s="11" t="n">
        <f aca="false">fr_d*Thesis!M69/365</f>
        <v>1553.52530103773</v>
      </c>
    </row>
    <row r="92" customFormat="false" ht="15" hidden="false" customHeight="false" outlineLevel="0" collapsed="false">
      <c r="A92" s="2" t="s">
        <v>635</v>
      </c>
      <c r="B92" s="0" t="s">
        <v>166</v>
      </c>
      <c r="C92" s="6" t="n">
        <v>1100</v>
      </c>
      <c r="D92" s="11" t="n">
        <f aca="false">ap_pct*(PL!D72-PL!D77+PL!D78)</f>
        <v>1484.31420728804</v>
      </c>
      <c r="E92" s="11" t="n">
        <f aca="false">ap_pct*(PL!E72-PL!E77+PL!E78)</f>
        <v>1395.87886369082</v>
      </c>
      <c r="F92" s="11" t="n">
        <f aca="false">ap_pct*(PL!F72-PL!F77+PL!F78)</f>
        <v>1487.47986317865</v>
      </c>
      <c r="G92" s="11" t="n">
        <f aca="false">ap_pct*(PL!G72-PL!G77+PL!G78)</f>
        <v>1622.16667707704</v>
      </c>
      <c r="H92" s="11" t="n">
        <f aca="false">ap_pct*(PL!H72-PL!H77+PL!H78)</f>
        <v>1809.64046440797</v>
      </c>
      <c r="I92" s="11" t="n">
        <f aca="false">ap_pct*(PL!I72-PL!I77+PL!I78)</f>
        <v>2006.06062825927</v>
      </c>
      <c r="J92" s="11" t="n">
        <f aca="false">ap_pct*(PL!J72-PL!J77+PL!J78)</f>
        <v>2199.99070548259</v>
      </c>
      <c r="K92" s="11" t="n">
        <f aca="false">ap_pct*(PL!K72-PL!K77+PL!K78)</f>
        <v>2386.43049036912</v>
      </c>
      <c r="L92" s="11" t="n">
        <f aca="false">ap_pct*(PL!L72-PL!L77+PL!L78)</f>
        <v>2560.10492245759</v>
      </c>
      <c r="M92" s="11" t="n">
        <f aca="false">ap_pct*(PL!M72-PL!M77+PL!M78)</f>
        <v>2715.69242341862</v>
      </c>
    </row>
    <row r="93" customFormat="false" ht="15" hidden="false" customHeight="false" outlineLevel="0" collapsed="false">
      <c r="A93" s="2" t="s">
        <v>636</v>
      </c>
      <c r="B93" s="0" t="s">
        <v>166</v>
      </c>
      <c r="C93" s="11" t="n">
        <f aca="false">d25_bi</f>
        <v>486</v>
      </c>
      <c r="D93" s="11" t="n">
        <f aca="false">lq_bi*Thesis!D69/Thesis!D69</f>
        <v>557</v>
      </c>
      <c r="E93" s="11" t="n">
        <f aca="false">lq_bi*Thesis!E69/Thesis!D69</f>
        <v>511.326</v>
      </c>
      <c r="F93" s="11" t="n">
        <f aca="false">lq_bi*Thesis!F69/Thesis!D69</f>
        <v>547.630146</v>
      </c>
      <c r="G93" s="11" t="n">
        <f aca="false">lq_bi*Thesis!G69/Thesis!D69</f>
        <v>600.476455089</v>
      </c>
      <c r="H93" s="11" t="n">
        <f aca="false">lq_bi*Thesis!H69/Thesis!D69</f>
        <v>673.734582609858</v>
      </c>
      <c r="I93" s="11" t="n">
        <f aca="false">lq_bi*Thesis!I69/Thesis!D69</f>
        <v>747.683690397116</v>
      </c>
      <c r="J93" s="11" t="n">
        <f aca="false">lq_bi*Thesis!J69/Thesis!D69</f>
        <v>820.597803884643</v>
      </c>
      <c r="K93" s="11" t="n">
        <f aca="false">lq_bi*Thesis!K69/Thesis!D69</f>
        <v>890.578384599926</v>
      </c>
      <c r="L93" s="11" t="n">
        <f aca="false">lq_bi*Thesis!L69/Thesis!D69</f>
        <v>955.626229811104</v>
      </c>
      <c r="M93" s="11" t="n">
        <f aca="false">lq_bi*Thesis!M69/Thesis!D69</f>
        <v>1013.72830458362</v>
      </c>
    </row>
    <row r="94" customFormat="false" ht="15" hidden="false" customHeight="false" outlineLevel="0" collapsed="false">
      <c r="A94" s="2" t="s">
        <v>637</v>
      </c>
      <c r="B94" s="0" t="s">
        <v>166</v>
      </c>
      <c r="D94" s="11" t="n">
        <f aca="false">PL!D85</f>
        <v>1879.62970616908</v>
      </c>
      <c r="E94" s="11" t="n">
        <f aca="false">PL!E85</f>
        <v>599.367238378276</v>
      </c>
      <c r="F94" s="11" t="n">
        <f aca="false">PL!F85</f>
        <v>909.10954879827</v>
      </c>
      <c r="G94" s="11" t="n">
        <f aca="false">PL!G85</f>
        <v>1296.26466480051</v>
      </c>
      <c r="H94" s="11" t="n">
        <f aca="false">PL!H85</f>
        <v>1753.3391527111</v>
      </c>
      <c r="I94" s="11" t="n">
        <f aca="false">PL!I85</f>
        <v>1983.21406110127</v>
      </c>
      <c r="J94" s="11" t="n">
        <f aca="false">PL!J85</f>
        <v>2201.28594192937</v>
      </c>
      <c r="K94" s="11" t="n">
        <f aca="false">PL!K85</f>
        <v>2402.09467522759</v>
      </c>
      <c r="L94" s="11" t="n">
        <f aca="false">PL!L85</f>
        <v>2657.74120830552</v>
      </c>
      <c r="M94" s="11" t="n">
        <f aca="false">PL!M85</f>
        <v>2804.49523281225</v>
      </c>
    </row>
    <row r="95" customFormat="false" ht="17.15" hidden="false" customHeight="false" outlineLevel="0" collapsed="false">
      <c r="A95" s="2" t="s">
        <v>638</v>
      </c>
      <c r="B95" s="0" t="s">
        <v>166</v>
      </c>
      <c r="D95" s="11" t="n">
        <f aca="false">PL!D88+PL!D89</f>
        <v>369</v>
      </c>
      <c r="E95" s="11" t="n">
        <f aca="false">PL!E88+PL!E89</f>
        <v>380.07</v>
      </c>
      <c r="F95" s="11" t="n">
        <f aca="false">PL!F88+PL!F89</f>
        <v>391.4721</v>
      </c>
      <c r="G95" s="11" t="n">
        <f aca="false">PL!G88+PL!G89</f>
        <v>403.216263</v>
      </c>
      <c r="H95" s="11" t="n">
        <f aca="false">PL!H88+PL!H89</f>
        <v>415.31275089</v>
      </c>
      <c r="I95" s="11" t="n">
        <f aca="false">PL!I88+PL!I89</f>
        <v>427.7721334167</v>
      </c>
      <c r="J95" s="11" t="n">
        <f aca="false">PL!J88+PL!J89</f>
        <v>440.605297419201</v>
      </c>
      <c r="K95" s="11" t="n">
        <f aca="false">PL!K88+PL!K89</f>
        <v>453.823456341777</v>
      </c>
      <c r="L95" s="11" t="n">
        <f aca="false">PL!L88+PL!L89</f>
        <v>467.43816003203</v>
      </c>
      <c r="M95" s="11" t="n">
        <f aca="false">PL!M88+PL!M89</f>
        <v>481.461304832991</v>
      </c>
    </row>
    <row r="96" customFormat="false" ht="15" hidden="false" customHeight="false" outlineLevel="0" collapsed="false">
      <c r="A96" s="2" t="s">
        <v>639</v>
      </c>
      <c r="B96" s="0" t="s">
        <v>166</v>
      </c>
      <c r="D96" s="11" t="n">
        <f aca="false">PL!D84-MAX(0,PL!D83)*ctr</f>
        <v>166.147996296916</v>
      </c>
      <c r="E96" s="11" t="n">
        <f aca="false">PL!E84-MAX(0,PL!E83)*ctr</f>
        <v>61.2989221068692</v>
      </c>
      <c r="F96" s="11" t="n">
        <f aca="false">PL!F84-MAX(0,PL!F83)*ctr</f>
        <v>116.281453916058</v>
      </c>
      <c r="G96" s="11" t="n">
        <f aca="false">0</f>
        <v>0</v>
      </c>
      <c r="H96" s="11" t="n">
        <f aca="false">0</f>
        <v>0</v>
      </c>
      <c r="I96" s="11" t="n">
        <f aca="false">0</f>
        <v>0</v>
      </c>
      <c r="J96" s="11" t="n">
        <f aca="false">0</f>
        <v>0</v>
      </c>
      <c r="K96" s="11" t="n">
        <f aca="false">0</f>
        <v>0</v>
      </c>
      <c r="L96" s="11" t="n">
        <f aca="false">0</f>
        <v>0</v>
      </c>
      <c r="M96" s="11" t="n">
        <f aca="false">0</f>
        <v>0</v>
      </c>
    </row>
    <row r="97" customFormat="false" ht="15" hidden="false" customHeight="false" outlineLevel="0" collapsed="false">
      <c r="A97" s="2" t="s">
        <v>640</v>
      </c>
      <c r="B97" s="0" t="s">
        <v>166</v>
      </c>
      <c r="D97" s="11" t="n">
        <f aca="false">-((D90-C90)+(D91-C91)-(D92-C92))</f>
        <v>-539.961426503739</v>
      </c>
      <c r="E97" s="11" t="n">
        <f aca="false">-((E90-D90)+(E91-D91)-(E92-D92))</f>
        <v>-347.342731981946</v>
      </c>
      <c r="F97" s="11" t="n">
        <f aca="false">-((F90-E90)+(F91-E91)-(F92-E92))</f>
        <v>66.8774612588481</v>
      </c>
      <c r="G97" s="11" t="n">
        <f aca="false">-((G90-F90)+(G91-F91)-(G92-F92))</f>
        <v>20.6196466357433</v>
      </c>
      <c r="H97" s="11" t="n">
        <f aca="false">-((H90-G90)+(H91-G91)-(H92-G92))</f>
        <v>-355.570409022541</v>
      </c>
      <c r="I97" s="11" t="n">
        <f aca="false">-((I90-H90)+(I91-H91)-(I92-H92))</f>
        <v>-372.029442613063</v>
      </c>
      <c r="J97" s="11" t="n">
        <f aca="false">-((J90-I90)+(J91-I91)-(J92-I92))</f>
        <v>-368.477704686817</v>
      </c>
      <c r="K97" s="11" t="n">
        <f aca="false">-((K90-J90)+(K91-J91)-(K92-J92))</f>
        <v>-355.422433025351</v>
      </c>
      <c r="L97" s="11" t="n">
        <f aca="false">-((L90-K90)+(L91-K91)-(L92-K92))</f>
        <v>-332.278577142028</v>
      </c>
      <c r="M97" s="11" t="n">
        <f aca="false">-((M90-L90)+(M91-L91)-(M92-L92))</f>
        <v>-298.892296660396</v>
      </c>
    </row>
    <row r="98" customFormat="false" ht="17.15" hidden="false" customHeight="false" outlineLevel="0" collapsed="false">
      <c r="A98" s="2" t="s">
        <v>641</v>
      </c>
      <c r="B98" s="0" t="s">
        <v>166</v>
      </c>
      <c r="D98" s="11" t="n">
        <f aca="false">-(D93-C93)*(1-bi_adv)</f>
        <v>-16.5709156193896</v>
      </c>
      <c r="E98" s="11" t="n">
        <f aca="false">-(E93-D93)*(1-bi_adv)</f>
        <v>10.66</v>
      </c>
      <c r="F98" s="11" t="n">
        <f aca="false">-(F93-E93)*(1-bi_adv)</f>
        <v>-8.47314000000001</v>
      </c>
      <c r="G98" s="11" t="n">
        <f aca="false">-(G93-F93)*(1-bi_adv)</f>
        <v>-12.33396801</v>
      </c>
      <c r="H98" s="11" t="n">
        <f aca="false">-(H93-G93)*(1-bi_adv)</f>
        <v>-17.09794717722</v>
      </c>
      <c r="I98" s="11" t="n">
        <f aca="false">-(I93-H93)*(1-bi_adv)</f>
        <v>-17.2592172573493</v>
      </c>
      <c r="J98" s="11" t="n">
        <f aca="false">-(J93-I93)*(1-bi_adv)</f>
        <v>-17.0176566487945</v>
      </c>
      <c r="K98" s="11" t="n">
        <f aca="false">-(K93-J93)*(1-bi_adv)</f>
        <v>-16.3329901130821</v>
      </c>
      <c r="L98" s="11" t="n">
        <f aca="false">-(L93-K93)*(1-bi_adv)</f>
        <v>-15.1817232988388</v>
      </c>
      <c r="M98" s="11" t="n">
        <f aca="false">-(M93-L93)*(1-bi_adv)</f>
        <v>-13.5606278643213</v>
      </c>
    </row>
    <row r="99" customFormat="false" ht="15" hidden="false" customHeight="false" outlineLevel="0" collapsed="false">
      <c r="A99" s="2" t="s">
        <v>642</v>
      </c>
      <c r="B99" s="0" t="s">
        <v>166</v>
      </c>
      <c r="D99" s="11" t="n">
        <f aca="false">D94+D95+D96+D97+D98</f>
        <v>1858.24536034287</v>
      </c>
      <c r="E99" s="11" t="n">
        <f aca="false">E94+E95+E96+E97+E98</f>
        <v>704.053428503199</v>
      </c>
      <c r="F99" s="11" t="n">
        <f aca="false">F94+F95+F96+F97+F98</f>
        <v>1475.26742397318</v>
      </c>
      <c r="G99" s="11" t="n">
        <f aca="false">G94+G95+G96+G97+G98</f>
        <v>1707.76660642626</v>
      </c>
      <c r="H99" s="11" t="n">
        <f aca="false">H94+H95+H96+H97+H98</f>
        <v>1795.98354740134</v>
      </c>
      <c r="I99" s="11" t="n">
        <f aca="false">I94+I95+I96+I97+I98</f>
        <v>2021.69753464756</v>
      </c>
      <c r="J99" s="11" t="n">
        <f aca="false">J94+J95+J96+J97+J98</f>
        <v>2256.39587801296</v>
      </c>
      <c r="K99" s="11" t="n">
        <f aca="false">K94+K95+K96+K97+K98</f>
        <v>2484.16270843093</v>
      </c>
      <c r="L99" s="11" t="n">
        <f aca="false">L94+L95+L96+L97+L98</f>
        <v>2777.71906789668</v>
      </c>
      <c r="M99" s="11" t="n">
        <f aca="false">M94+M95+M96+M97+M98</f>
        <v>2973.50361312053</v>
      </c>
    </row>
    <row r="100" customFormat="false" ht="15" hidden="false" customHeight="false" outlineLevel="0" collapsed="false">
      <c r="A100" s="2" t="s">
        <v>643</v>
      </c>
      <c r="B100" s="0" t="s">
        <v>166</v>
      </c>
      <c r="D100" s="11" t="n">
        <f aca="false">ytd_capex+capex_q4</f>
        <v>236</v>
      </c>
      <c r="E100" s="11" t="n">
        <f aca="false">PL!E72*mcx+Thesis!E82</f>
        <v>134.330606490236</v>
      </c>
      <c r="F100" s="11" t="n">
        <f aca="false">PL!F72*mcx+Thesis!F82</f>
        <v>144.624059235205</v>
      </c>
      <c r="G100" s="11" t="n">
        <f aca="false">PL!G72*mcx+Thesis!G82</f>
        <v>159.410795936593</v>
      </c>
      <c r="H100" s="11" t="n">
        <f aca="false">PL!H72*mcx+Thesis!H82</f>
        <v>179.792492441896</v>
      </c>
      <c r="I100" s="11" t="n">
        <f aca="false">PL!I72*mcx+Thesis!I82</f>
        <v>199.431774043859</v>
      </c>
      <c r="J100" s="11" t="n">
        <f aca="false">PL!J72*mcx+Thesis!J82</f>
        <v>218.778417860154</v>
      </c>
      <c r="K100" s="11" t="n">
        <f aca="false">PL!K72*mcx+Thesis!K82</f>
        <v>237.327374208344</v>
      </c>
      <c r="L100" s="11" t="n">
        <f aca="false">PL!L72*mcx+Thesis!L82</f>
        <v>254.547658202998</v>
      </c>
      <c r="M100" s="11" t="n">
        <f aca="false">PL!M72*mcx+Thesis!M82</f>
        <v>290.929815324965</v>
      </c>
    </row>
    <row r="101" customFormat="false" ht="15" hidden="false" customHeight="false" outlineLevel="0" collapsed="false">
      <c r="A101" s="2" t="s">
        <v>644</v>
      </c>
      <c r="B101" s="0" t="s">
        <v>166</v>
      </c>
      <c r="D101" s="11" t="n">
        <f aca="false">D99-D100</f>
        <v>1622.24536034287</v>
      </c>
      <c r="E101" s="11" t="n">
        <f aca="false">E99-E100</f>
        <v>569.722822012963</v>
      </c>
      <c r="F101" s="11" t="n">
        <f aca="false">F99-F100</f>
        <v>1330.64336473797</v>
      </c>
      <c r="G101" s="11" t="n">
        <f aca="false">G99-G100</f>
        <v>1548.35581048966</v>
      </c>
      <c r="H101" s="11" t="n">
        <f aca="false">H99-H100</f>
        <v>1616.19105495944</v>
      </c>
      <c r="I101" s="11" t="n">
        <f aca="false">I99-I100</f>
        <v>1822.2657606037</v>
      </c>
      <c r="J101" s="11" t="n">
        <f aca="false">J99-J100</f>
        <v>2037.61746015281</v>
      </c>
      <c r="K101" s="11" t="n">
        <f aca="false">K99-K100</f>
        <v>2246.83533422259</v>
      </c>
      <c r="L101" s="11" t="n">
        <f aca="false">L99-L100</f>
        <v>2523.17140969369</v>
      </c>
      <c r="M101" s="11" t="n">
        <f aca="false">M99-M100</f>
        <v>2682.57379779556</v>
      </c>
    </row>
    <row r="102" customFormat="false" ht="17.15" hidden="false" customHeight="false" outlineLevel="0" collapsed="false">
      <c r="A102" s="0" t="s">
        <v>645</v>
      </c>
      <c r="B102" s="0" t="s">
        <v>166</v>
      </c>
      <c r="D102" s="11" t="n">
        <f aca="false">37+tra_q4</f>
        <v>37</v>
      </c>
      <c r="E102" s="11" t="n">
        <f aca="false">MIN(tra_0-tra_q4,tra_0/tra_yrs)</f>
        <v>142</v>
      </c>
      <c r="F102" s="11" t="n">
        <f aca="false">MIN(tra_0-tra_q4-SUM(E102:E102),tra_0/tra_yrs)</f>
        <v>142</v>
      </c>
      <c r="G102" s="11" t="n">
        <f aca="false">MIN(tra_0-tra_q4-SUM(E102:F102),tra_0/tra_yrs)</f>
        <v>142</v>
      </c>
      <c r="H102" s="11" t="n">
        <f aca="false">MIN(tra_0-tra_q4-SUM(E102:G102),tra_0/tra_yrs)</f>
        <v>142</v>
      </c>
      <c r="I102" s="11" t="n">
        <f aca="false">MIN(tra_0-tra_q4-SUM(E102:H102),tra_0/tra_yrs)</f>
        <v>142</v>
      </c>
      <c r="J102" s="11" t="n">
        <f aca="false">MIN(tra_0-tra_q4-SUM(E102:I102),tra_0/tra_yrs)</f>
        <v>142</v>
      </c>
      <c r="K102" s="11" t="n">
        <f aca="false">MIN(tra_0-tra_q4-SUM(E102:J102),tra_0/tra_yrs)</f>
        <v>142</v>
      </c>
      <c r="L102" s="11" t="n">
        <f aca="false">MIN(tra_0-tra_q4-SUM(E102:K102),tra_0/tra_yrs)</f>
        <v>142</v>
      </c>
      <c r="M102" s="11" t="n">
        <f aca="false">MIN(tra_0-tra_q4-SUM(E102:L102),tra_0/tra_yrs)</f>
        <v>142</v>
      </c>
    </row>
    <row r="103" customFormat="false" ht="15" hidden="false" customHeight="false" outlineLevel="0" collapsed="false">
      <c r="A103" s="2" t="s">
        <v>259</v>
      </c>
      <c r="B103" s="0" t="s">
        <v>166</v>
      </c>
      <c r="D103" s="11" t="n">
        <f aca="false">ncitax</f>
        <v>8</v>
      </c>
      <c r="E103" s="11" t="n">
        <f aca="false">ncitax</f>
        <v>8</v>
      </c>
      <c r="F103" s="11" t="n">
        <f aca="false">ncitax</f>
        <v>8</v>
      </c>
      <c r="G103" s="11" t="n">
        <f aca="false">ncitax</f>
        <v>8</v>
      </c>
      <c r="H103" s="11" t="n">
        <f aca="false">ncitax</f>
        <v>8</v>
      </c>
      <c r="I103" s="11" t="n">
        <f aca="false">ncitax</f>
        <v>8</v>
      </c>
      <c r="J103" s="11" t="n">
        <f aca="false">ncitax</f>
        <v>8</v>
      </c>
      <c r="K103" s="11" t="n">
        <f aca="false">ncitax</f>
        <v>8</v>
      </c>
      <c r="L103" s="11" t="n">
        <f aca="false">ncitax</f>
        <v>8</v>
      </c>
      <c r="M103" s="11" t="n">
        <f aca="false">ncitax</f>
        <v>8</v>
      </c>
    </row>
    <row r="104" customFormat="false" ht="15" hidden="false" customHeight="false" outlineLevel="0" collapsed="false">
      <c r="A104" s="2" t="s">
        <v>646</v>
      </c>
      <c r="B104" s="0" t="s">
        <v>166</v>
      </c>
      <c r="D104" s="11" t="n">
        <f aca="false">0</f>
        <v>0</v>
      </c>
      <c r="E104" s="11" t="n">
        <f aca="false">tlb*0.01+32</f>
        <v>48.6</v>
      </c>
      <c r="F104" s="11" t="n">
        <f aca="false">tlb*0.01+22</f>
        <v>38.6</v>
      </c>
      <c r="G104" s="11" t="n">
        <f aca="false">tlb*0.01+26</f>
        <v>42.6</v>
      </c>
      <c r="H104" s="11" t="n">
        <f aca="false">tlb*0.01+27</f>
        <v>43.6</v>
      </c>
      <c r="I104" s="11" t="n">
        <f aca="false">tlb*0.01</f>
        <v>16.6</v>
      </c>
      <c r="J104" s="11" t="n">
        <f aca="false">tlb*0.01</f>
        <v>16.6</v>
      </c>
      <c r="K104" s="11" t="n">
        <f aca="false">tlb-tlb*0.01*6</f>
        <v>1560.4</v>
      </c>
      <c r="L104" s="11" t="n">
        <f aca="false">0</f>
        <v>0</v>
      </c>
      <c r="M104" s="11" t="n">
        <f aca="false">0</f>
        <v>0</v>
      </c>
    </row>
    <row r="105" customFormat="false" ht="15" hidden="false" customHeight="false" outlineLevel="0" collapsed="false">
      <c r="A105" s="2" t="s">
        <v>647</v>
      </c>
      <c r="B105" s="0" t="s">
        <v>166</v>
      </c>
      <c r="D105" s="11" t="n">
        <f aca="false">redeem_cost</f>
        <v>50</v>
      </c>
      <c r="E105" s="11" t="n">
        <f aca="false">0</f>
        <v>0</v>
      </c>
      <c r="F105" s="11" t="n">
        <f aca="false">0</f>
        <v>0</v>
      </c>
      <c r="G105" s="11" t="n">
        <f aca="false">0</f>
        <v>0</v>
      </c>
      <c r="H105" s="11" t="n">
        <f aca="false">0</f>
        <v>0</v>
      </c>
      <c r="I105" s="11" t="n">
        <f aca="false">0</f>
        <v>0</v>
      </c>
      <c r="J105" s="11" t="n">
        <f aca="false">0</f>
        <v>0</v>
      </c>
      <c r="K105" s="11" t="n">
        <f aca="false">0</f>
        <v>0</v>
      </c>
      <c r="L105" s="11" t="n">
        <f aca="false">0</f>
        <v>0</v>
      </c>
      <c r="M105" s="11" t="n">
        <f aca="false">0</f>
        <v>0</v>
      </c>
    </row>
    <row r="106" customFormat="false" ht="17.15" hidden="false" customHeight="false" outlineLevel="0" collapsed="false">
      <c r="A106" s="2" t="s">
        <v>648</v>
      </c>
      <c r="B106" s="0" t="s">
        <v>166</v>
      </c>
      <c r="D106" s="11" t="n">
        <f aca="false">D101-D102-D103-D104-D105</f>
        <v>1527.24536034287</v>
      </c>
      <c r="E106" s="11" t="n">
        <f aca="false">E101-E102-E103-E104-E105</f>
        <v>371.122822012963</v>
      </c>
      <c r="F106" s="11" t="n">
        <f aca="false">F101-F102-F103-F104-F105</f>
        <v>1142.04336473797</v>
      </c>
      <c r="G106" s="11" t="n">
        <f aca="false">G101-G102-G103-G104-G105</f>
        <v>1355.75581048966</v>
      </c>
      <c r="H106" s="11" t="n">
        <f aca="false">H101-H102-H103-H104-H105</f>
        <v>1422.59105495944</v>
      </c>
      <c r="I106" s="11" t="n">
        <f aca="false">I101-I102-I103-I104-I105</f>
        <v>1655.6657606037</v>
      </c>
      <c r="J106" s="11" t="n">
        <f aca="false">J101-J102-J103-J104-J105</f>
        <v>1871.01746015281</v>
      </c>
      <c r="K106" s="11" t="n">
        <f aca="false">K101-K102-K103-K104-K105</f>
        <v>536.435334222589</v>
      </c>
      <c r="L106" s="11" t="n">
        <f aca="false">L101-L102-L103-L104-L105</f>
        <v>2373.17140969369</v>
      </c>
      <c r="M106" s="11" t="n">
        <f aca="false">M101-M102-M103-M104-M105</f>
        <v>2532.57379779556</v>
      </c>
    </row>
    <row r="107" customFormat="false" ht="15" hidden="false" customHeight="false" outlineLevel="0" collapsed="false">
      <c r="A107" s="2" t="s">
        <v>649</v>
      </c>
      <c r="B107" s="0" t="s">
        <v>166</v>
      </c>
      <c r="D107" s="11" t="n">
        <f aca="false">C110+D106</f>
        <v>3854.24536034287</v>
      </c>
      <c r="E107" s="11" t="n">
        <f aca="false">D110+E106</f>
        <v>4225.36818235584</v>
      </c>
      <c r="F107" s="11" t="n">
        <f aca="false">E110+F106</f>
        <v>5367.41154709381</v>
      </c>
      <c r="G107" s="11" t="n">
        <f aca="false">F110+G106</f>
        <v>6355.75581048967</v>
      </c>
      <c r="H107" s="11" t="n">
        <f aca="false">G110+H106</f>
        <v>6422.59105495944</v>
      </c>
      <c r="I107" s="11" t="n">
        <f aca="false">H110+I106</f>
        <v>6655.6657606037</v>
      </c>
      <c r="J107" s="11" t="n">
        <f aca="false">I110+J106</f>
        <v>6871.01746015281</v>
      </c>
      <c r="K107" s="11" t="n">
        <f aca="false">J110+K106</f>
        <v>5536.43533422259</v>
      </c>
      <c r="L107" s="11" t="n">
        <f aca="false">K110+L106</f>
        <v>7373.17140969369</v>
      </c>
      <c r="M107" s="11" t="n">
        <f aca="false">L110+M106</f>
        <v>7532.57379779556</v>
      </c>
    </row>
    <row r="108" customFormat="false" ht="15" hidden="false" customHeight="false" outlineLevel="0" collapsed="false">
      <c r="A108" s="2" t="s">
        <v>650</v>
      </c>
      <c r="B108" s="0" t="s">
        <v>166</v>
      </c>
      <c r="D108" s="11" t="n">
        <f aca="false">MAX(0,min_cash-D107)</f>
        <v>0</v>
      </c>
      <c r="E108" s="11" t="n">
        <f aca="false">MAX(0,min_cash-E107)</f>
        <v>0</v>
      </c>
      <c r="F108" s="11" t="n">
        <f aca="false">MAX(0,min_cash-F107)</f>
        <v>0</v>
      </c>
      <c r="G108" s="11" t="n">
        <f aca="false">MAX(0,min_cash-G107)</f>
        <v>0</v>
      </c>
      <c r="H108" s="11" t="n">
        <f aca="false">MAX(0,min_cash-H107)</f>
        <v>0</v>
      </c>
      <c r="I108" s="11" t="n">
        <f aca="false">MAX(0,min_cash-I107)</f>
        <v>0</v>
      </c>
      <c r="J108" s="11" t="n">
        <f aca="false">MAX(0,min_cash-J107)</f>
        <v>0</v>
      </c>
      <c r="K108" s="11" t="n">
        <f aca="false">MAX(0,min_cash-K107)</f>
        <v>0</v>
      </c>
      <c r="L108" s="11" t="n">
        <f aca="false">MAX(0,min_cash-L107)</f>
        <v>0</v>
      </c>
      <c r="M108" s="11" t="n">
        <f aca="false">MAX(0,min_cash-M107)</f>
        <v>0</v>
      </c>
    </row>
    <row r="109" customFormat="false" ht="15" hidden="false" customHeight="false" outlineLevel="0" collapsed="false">
      <c r="A109" s="2" t="s">
        <v>651</v>
      </c>
      <c r="B109" s="0" t="s">
        <v>166</v>
      </c>
      <c r="D109" s="11" t="n">
        <f aca="false">MAX(0,D107-cash_cap)</f>
        <v>0</v>
      </c>
      <c r="E109" s="11" t="n">
        <f aca="false">MAX(0,E107-cash_cap)</f>
        <v>0</v>
      </c>
      <c r="F109" s="11" t="n">
        <f aca="false">MAX(0,F107-cash_cap)</f>
        <v>367.411547093805</v>
      </c>
      <c r="G109" s="11" t="n">
        <f aca="false">MAX(0,G107-cash_cap)</f>
        <v>1355.75581048967</v>
      </c>
      <c r="H109" s="11" t="n">
        <f aca="false">MAX(0,H107-cash_cap)</f>
        <v>1422.59105495944</v>
      </c>
      <c r="I109" s="11" t="n">
        <f aca="false">MAX(0,I107-cash_cap)</f>
        <v>1655.6657606037</v>
      </c>
      <c r="J109" s="11" t="n">
        <f aca="false">MAX(0,J107-cash_cap)</f>
        <v>1871.01746015281</v>
      </c>
      <c r="K109" s="11" t="n">
        <f aca="false">MAX(0,K107-cash_cap)</f>
        <v>536.435334222589</v>
      </c>
      <c r="L109" s="11" t="n">
        <f aca="false">MAX(0,L107-cash_cap)</f>
        <v>2373.17140969369</v>
      </c>
      <c r="M109" s="11" t="n">
        <f aca="false">MAX(0,M107-cash_cap)</f>
        <v>2532.57379779556</v>
      </c>
    </row>
    <row r="110" customFormat="false" ht="15" hidden="false" customHeight="false" outlineLevel="0" collapsed="false">
      <c r="A110" s="2" t="s">
        <v>652</v>
      </c>
      <c r="B110" s="0" t="s">
        <v>166</v>
      </c>
      <c r="C110" s="0" t="n">
        <f aca="false">d25_cash</f>
        <v>2327</v>
      </c>
      <c r="D110" s="11" t="n">
        <f aca="false">D107+D108-D109</f>
        <v>3854.24536034287</v>
      </c>
      <c r="E110" s="11" t="n">
        <f aca="false">E107+E108-E109</f>
        <v>4225.36818235584</v>
      </c>
      <c r="F110" s="11" t="n">
        <f aca="false">F107+F108-F109</f>
        <v>5000</v>
      </c>
      <c r="G110" s="11" t="n">
        <f aca="false">G107+G108-G109</f>
        <v>5000</v>
      </c>
      <c r="H110" s="11" t="n">
        <f aca="false">H107+H108-H109</f>
        <v>5000</v>
      </c>
      <c r="I110" s="11" t="n">
        <f aca="false">I107+I108-I109</f>
        <v>5000</v>
      </c>
      <c r="J110" s="11" t="n">
        <f aca="false">J107+J108-J109</f>
        <v>5000</v>
      </c>
      <c r="K110" s="11" t="n">
        <f aca="false">K107+K108-K109</f>
        <v>5000</v>
      </c>
      <c r="L110" s="11" t="n">
        <f aca="false">L107+L108-L109</f>
        <v>5000</v>
      </c>
      <c r="M110" s="11" t="n">
        <f aca="false">M107+M108-M109</f>
        <v>5000</v>
      </c>
    </row>
    <row r="111" customFormat="false" ht="15" hidden="false" customHeight="false" outlineLevel="0" collapsed="false">
      <c r="A111" s="9" t="s">
        <v>653</v>
      </c>
    </row>
    <row r="112" customFormat="false" ht="17.15" hidden="false" customHeight="false" outlineLevel="0" collapsed="false">
      <c r="A112" s="2" t="s">
        <v>654</v>
      </c>
      <c r="B112" s="0" t="s">
        <v>166</v>
      </c>
      <c r="C112" s="11" t="n">
        <f aca="false">0</f>
        <v>0</v>
      </c>
      <c r="D112" s="11" t="n">
        <f aca="false">tlb</f>
        <v>1660</v>
      </c>
      <c r="E112" s="11" t="n">
        <f aca="false">tlb-tlb*0.01*1</f>
        <v>1643.4</v>
      </c>
      <c r="F112" s="11" t="n">
        <f aca="false">tlb-tlb*0.01*2</f>
        <v>1626.8</v>
      </c>
      <c r="G112" s="11" t="n">
        <f aca="false">tlb-tlb*0.01*3</f>
        <v>1610.2</v>
      </c>
      <c r="H112" s="11" t="n">
        <f aca="false">tlb-tlb*0.01*4</f>
        <v>1593.6</v>
      </c>
      <c r="I112" s="11" t="n">
        <f aca="false">tlb-tlb*0.01*5</f>
        <v>1577</v>
      </c>
      <c r="J112" s="11" t="n">
        <f aca="false">tlb-tlb*0.01*6</f>
        <v>1560.4</v>
      </c>
      <c r="K112" s="11" t="n">
        <f aca="false">0</f>
        <v>0</v>
      </c>
      <c r="L112" s="11" t="n">
        <f aca="false">0</f>
        <v>0</v>
      </c>
      <c r="M112" s="11" t="n">
        <f aca="false">0</f>
        <v>0</v>
      </c>
    </row>
    <row r="113" customFormat="false" ht="17.15" hidden="false" customHeight="false" outlineLevel="0" collapsed="false">
      <c r="A113" s="0" t="s">
        <v>655</v>
      </c>
      <c r="B113" s="0" t="s">
        <v>166</v>
      </c>
      <c r="C113" s="11" t="n">
        <f aca="false">tlb_old</f>
        <v>1660</v>
      </c>
      <c r="D113" s="11" t="n">
        <f aca="false">0</f>
        <v>0</v>
      </c>
      <c r="E113" s="11" t="n">
        <f aca="false">0</f>
        <v>0</v>
      </c>
      <c r="F113" s="11" t="n">
        <f aca="false">0</f>
        <v>0</v>
      </c>
      <c r="G113" s="11" t="n">
        <f aca="false">0</f>
        <v>0</v>
      </c>
      <c r="H113" s="11" t="n">
        <f aca="false">0</f>
        <v>0</v>
      </c>
      <c r="I113" s="11" t="n">
        <f aca="false">0</f>
        <v>0</v>
      </c>
      <c r="J113" s="11" t="n">
        <f aca="false">0</f>
        <v>0</v>
      </c>
      <c r="K113" s="11" t="n">
        <f aca="false">0</f>
        <v>0</v>
      </c>
      <c r="L113" s="11" t="n">
        <f aca="false">0</f>
        <v>0</v>
      </c>
      <c r="M113" s="11" t="n">
        <f aca="false">0</f>
        <v>0</v>
      </c>
    </row>
    <row r="114" customFormat="false" ht="17.15" hidden="false" customHeight="false" outlineLevel="0" collapsed="false">
      <c r="A114" s="0" t="s">
        <v>656</v>
      </c>
      <c r="B114" s="0" t="s">
        <v>166</v>
      </c>
      <c r="C114" s="11" t="n">
        <f aca="false">IF(2025&lt;2031,ssn_31,0)</f>
        <v>2269</v>
      </c>
      <c r="D114" s="11" t="n">
        <f aca="false">IF(2026&lt;2031,ssn_31,0)</f>
        <v>2269</v>
      </c>
      <c r="E114" s="11" t="n">
        <f aca="false">IF(2027&lt;2031,ssn_31,0)</f>
        <v>2269</v>
      </c>
      <c r="F114" s="11" t="n">
        <f aca="false">IF(2028&lt;2031,ssn_31,0)</f>
        <v>2269</v>
      </c>
      <c r="G114" s="11" t="n">
        <f aca="false">IF(2029&lt;2031,ssn_31,0)</f>
        <v>2269</v>
      </c>
      <c r="H114" s="11" t="n">
        <f aca="false">IF(2030&lt;2031,ssn_31,0)</f>
        <v>2269</v>
      </c>
      <c r="I114" s="11" t="n">
        <f aca="false">IF(2031&lt;2031,ssn_31,0)</f>
        <v>0</v>
      </c>
      <c r="J114" s="11" t="n">
        <f aca="false">IF(2032&lt;2031,ssn_31,0)</f>
        <v>0</v>
      </c>
      <c r="K114" s="11" t="n">
        <f aca="false">IF(2033&lt;2031,ssn_31,0)</f>
        <v>0</v>
      </c>
      <c r="L114" s="11" t="n">
        <f aca="false">IF(2034&lt;2031,ssn_31,0)</f>
        <v>0</v>
      </c>
      <c r="M114" s="11" t="n">
        <f aca="false">IF(2035&lt;2031,ssn_31,0)</f>
        <v>0</v>
      </c>
    </row>
    <row r="115" customFormat="false" ht="17.15" hidden="false" customHeight="false" outlineLevel="0" collapsed="false">
      <c r="A115" s="0" t="s">
        <v>657</v>
      </c>
      <c r="B115" s="0" t="s">
        <v>166</v>
      </c>
      <c r="C115" s="11" t="n">
        <f aca="false">IF(2025&gt;=2031,ssn_31,0)</f>
        <v>0</v>
      </c>
      <c r="D115" s="11" t="n">
        <f aca="false">IF(2026&gt;=2031,ssn_31,0)</f>
        <v>0</v>
      </c>
      <c r="E115" s="11" t="n">
        <f aca="false">IF(2027&gt;=2031,ssn_31,0)</f>
        <v>0</v>
      </c>
      <c r="F115" s="11" t="n">
        <f aca="false">IF(2028&gt;=2031,ssn_31,0)</f>
        <v>0</v>
      </c>
      <c r="G115" s="11" t="n">
        <f aca="false">IF(2029&gt;=2031,ssn_31,0)</f>
        <v>0</v>
      </c>
      <c r="H115" s="11" t="n">
        <f aca="false">IF(2030&gt;=2031,ssn_31,0)</f>
        <v>0</v>
      </c>
      <c r="I115" s="11" t="n">
        <f aca="false">IF(2031&gt;=2031,ssn_31,0)</f>
        <v>2269</v>
      </c>
      <c r="J115" s="11" t="n">
        <f aca="false">IF(2032&gt;=2031,ssn_31,0)</f>
        <v>2269</v>
      </c>
      <c r="K115" s="11" t="n">
        <f aca="false">IF(2033&gt;=2031,ssn_31,0)</f>
        <v>2269</v>
      </c>
      <c r="L115" s="11" t="n">
        <f aca="false">IF(2034&gt;=2031,ssn_31,0)</f>
        <v>2269</v>
      </c>
      <c r="M115" s="11" t="n">
        <f aca="false">IF(2035&gt;=2031,ssn_31,0)</f>
        <v>2269</v>
      </c>
    </row>
    <row r="116" customFormat="false" ht="15" hidden="false" customHeight="false" outlineLevel="0" collapsed="false">
      <c r="A116" s="2" t="s">
        <v>658</v>
      </c>
      <c r="B116" s="0" t="s">
        <v>166</v>
      </c>
      <c r="C116" s="11" t="n">
        <f aca="false">uns</f>
        <v>107</v>
      </c>
      <c r="D116" s="11" t="n">
        <f aca="false">uns</f>
        <v>107</v>
      </c>
      <c r="E116" s="11" t="n">
        <f aca="false">uns-32</f>
        <v>75</v>
      </c>
      <c r="F116" s="11" t="n">
        <f aca="false">uns-32-22</f>
        <v>53</v>
      </c>
      <c r="G116" s="11" t="n">
        <f aca="false">uns-32-22-26</f>
        <v>27</v>
      </c>
      <c r="H116" s="11" t="n">
        <f aca="false">0</f>
        <v>0</v>
      </c>
      <c r="I116" s="11" t="n">
        <f aca="false">0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</row>
    <row r="117" customFormat="false" ht="15" hidden="false" customHeight="false" outlineLevel="0" collapsed="false">
      <c r="A117" s="2" t="s">
        <v>305</v>
      </c>
      <c r="B117" s="0" t="s">
        <v>166</v>
      </c>
      <c r="C117" s="11" t="n">
        <f aca="false">re_fin</f>
        <v>485</v>
      </c>
      <c r="D117" s="11" t="n">
        <f aca="false">re_fin</f>
        <v>485</v>
      </c>
      <c r="E117" s="11" t="n">
        <f aca="false">re_fin</f>
        <v>485</v>
      </c>
      <c r="F117" s="11" t="n">
        <f aca="false">re_fin</f>
        <v>485</v>
      </c>
      <c r="G117" s="11" t="n">
        <f aca="false">re_fin</f>
        <v>485</v>
      </c>
      <c r="H117" s="11" t="n">
        <f aca="false">re_fin</f>
        <v>485</v>
      </c>
      <c r="I117" s="11" t="n">
        <f aca="false">re_fin</f>
        <v>485</v>
      </c>
      <c r="J117" s="11" t="n">
        <f aca="false">re_fin</f>
        <v>485</v>
      </c>
      <c r="K117" s="11" t="n">
        <f aca="false">re_fin</f>
        <v>485</v>
      </c>
      <c r="L117" s="11" t="n">
        <f aca="false">re_fin</f>
        <v>485</v>
      </c>
      <c r="M117" s="11" t="n">
        <f aca="false">re_fin</f>
        <v>485</v>
      </c>
    </row>
    <row r="118" customFormat="false" ht="15" hidden="false" customHeight="false" outlineLevel="0" collapsed="false">
      <c r="A118" s="2" t="s">
        <v>659</v>
      </c>
      <c r="B118" s="0" t="s">
        <v>166</v>
      </c>
      <c r="C118" s="11" t="n">
        <f aca="false">bi_adv*C93</f>
        <v>372.57091561939</v>
      </c>
      <c r="D118" s="11" t="n">
        <f aca="false">bi_adv*D93</f>
        <v>427</v>
      </c>
      <c r="E118" s="11" t="n">
        <f aca="false">bi_adv*E93</f>
        <v>391.986</v>
      </c>
      <c r="F118" s="11" t="n">
        <f aca="false">bi_adv*F93</f>
        <v>419.817006</v>
      </c>
      <c r="G118" s="11" t="n">
        <f aca="false">bi_adv*G93</f>
        <v>460.329347079</v>
      </c>
      <c r="H118" s="11" t="n">
        <f aca="false">bi_adv*H93</f>
        <v>516.489527422638</v>
      </c>
      <c r="I118" s="11" t="n">
        <f aca="false">bi_adv*I93</f>
        <v>573.179417952547</v>
      </c>
      <c r="J118" s="11" t="n">
        <f aca="false">bi_adv*J93</f>
        <v>629.07587479128</v>
      </c>
      <c r="K118" s="11" t="n">
        <f aca="false">bi_adv*K93</f>
        <v>682.72346539348</v>
      </c>
      <c r="L118" s="11" t="n">
        <f aca="false">bi_adv*L93</f>
        <v>732.58958730582</v>
      </c>
      <c r="M118" s="11" t="n">
        <f aca="false">bi_adv*M93</f>
        <v>777.131034214014</v>
      </c>
    </row>
    <row r="119" customFormat="false" ht="15" hidden="false" customHeight="false" outlineLevel="0" collapsed="false">
      <c r="A119" s="2" t="s">
        <v>660</v>
      </c>
      <c r="B119" s="0" t="s">
        <v>166</v>
      </c>
      <c r="C119" s="11" t="n">
        <f aca="false">fleet+finls</f>
        <v>260</v>
      </c>
      <c r="D119" s="11" t="n">
        <f aca="false">fleet+finls</f>
        <v>260</v>
      </c>
      <c r="E119" s="11" t="n">
        <f aca="false">fleet+finls</f>
        <v>260</v>
      </c>
      <c r="F119" s="11" t="n">
        <f aca="false">fleet+finls</f>
        <v>260</v>
      </c>
      <c r="G119" s="11" t="n">
        <f aca="false">fleet+finls</f>
        <v>260</v>
      </c>
      <c r="H119" s="11" t="n">
        <f aca="false">fleet+finls</f>
        <v>260</v>
      </c>
      <c r="I119" s="11" t="n">
        <f aca="false">fleet+finls</f>
        <v>260</v>
      </c>
      <c r="J119" s="11" t="n">
        <f aca="false">fleet+finls</f>
        <v>260</v>
      </c>
      <c r="K119" s="11" t="n">
        <f aca="false">fleet+finls</f>
        <v>260</v>
      </c>
      <c r="L119" s="11" t="n">
        <f aca="false">fleet+finls</f>
        <v>260</v>
      </c>
      <c r="M119" s="11" t="n">
        <f aca="false">fleet+finls</f>
        <v>260</v>
      </c>
    </row>
    <row r="120" customFormat="false" ht="17.15" hidden="false" customHeight="false" outlineLevel="0" collapsed="false">
      <c r="A120" s="2" t="s">
        <v>661</v>
      </c>
      <c r="B120" s="0" t="s">
        <v>166</v>
      </c>
      <c r="C120" s="11" t="n">
        <f aca="false">fp_ratio*C90</f>
        <v>49.4699074074074</v>
      </c>
      <c r="D120" s="11" t="n">
        <f aca="false">fp_ratio*D90</f>
        <v>67.6242223250523</v>
      </c>
      <c r="E120" s="11" t="n">
        <f aca="false">fp_ratio*E90</f>
        <v>74.3811828870055</v>
      </c>
      <c r="F120" s="11" t="n">
        <f aca="false">fp_ratio*F90</f>
        <v>73.7461255176616</v>
      </c>
      <c r="G120" s="11" t="n">
        <f aca="false">fp_ratio*G90</f>
        <v>74.4257387762473</v>
      </c>
      <c r="H120" s="11" t="n">
        <f aca="false">fp_ratio*H90</f>
        <v>83.2756151083485</v>
      </c>
      <c r="I120" s="11" t="n">
        <f aca="false">fp_ratio*I90</f>
        <v>92.6256653199169</v>
      </c>
      <c r="J120" s="11" t="n">
        <f aca="false">fp_ratio*J90</f>
        <v>101.884177520184</v>
      </c>
      <c r="K120" s="11" t="n">
        <f aca="false">fp_ratio*K90</f>
        <v>110.812959565744</v>
      </c>
      <c r="L120" s="11" t="n">
        <f aca="false">fp_ratio*L90</f>
        <v>119.159322687169</v>
      </c>
      <c r="M120" s="11" t="n">
        <f aca="false">fp_ratio*M90</f>
        <v>126.666897443482</v>
      </c>
    </row>
    <row r="121" customFormat="false" ht="15" hidden="false" customHeight="false" outlineLevel="0" collapsed="false">
      <c r="A121" s="2" t="s">
        <v>662</v>
      </c>
      <c r="B121" s="0" t="s">
        <v>166</v>
      </c>
      <c r="C121" s="11" t="n">
        <f aca="false">0</f>
        <v>0</v>
      </c>
      <c r="D121" s="11" t="n">
        <f aca="false">C121+D108</f>
        <v>0</v>
      </c>
      <c r="E121" s="11" t="n">
        <f aca="false">D121+E108</f>
        <v>0</v>
      </c>
      <c r="F121" s="11" t="n">
        <f aca="false">E121+F108</f>
        <v>0</v>
      </c>
      <c r="G121" s="11" t="n">
        <f aca="false">F121+G108</f>
        <v>0</v>
      </c>
      <c r="H121" s="11" t="n">
        <f aca="false">G121+H108</f>
        <v>0</v>
      </c>
      <c r="I121" s="11" t="n">
        <f aca="false">H121+I108</f>
        <v>0</v>
      </c>
      <c r="J121" s="11" t="n">
        <f aca="false">I121+J108</f>
        <v>0</v>
      </c>
      <c r="K121" s="11" t="n">
        <f aca="false">J121+K108</f>
        <v>0</v>
      </c>
      <c r="L121" s="11" t="n">
        <f aca="false">K121+L108</f>
        <v>0</v>
      </c>
      <c r="M121" s="11" t="n">
        <f aca="false">L121+M108</f>
        <v>0</v>
      </c>
    </row>
    <row r="122" customFormat="false" ht="15" hidden="false" customHeight="false" outlineLevel="0" collapsed="false">
      <c r="A122" s="2" t="s">
        <v>663</v>
      </c>
      <c r="B122" s="0" t="s">
        <v>166</v>
      </c>
      <c r="C122" s="11" t="n">
        <f aca="false">SUM(C112:C121)</f>
        <v>5203.0408230268</v>
      </c>
      <c r="D122" s="11" t="n">
        <f aca="false">SUM(D112:D121)</f>
        <v>5275.62422232505</v>
      </c>
      <c r="E122" s="11" t="n">
        <f aca="false">SUM(E112:E121)</f>
        <v>5198.76718288701</v>
      </c>
      <c r="F122" s="11" t="n">
        <f aca="false">SUM(F112:F121)</f>
        <v>5187.36313151766</v>
      </c>
      <c r="G122" s="11" t="n">
        <f aca="false">SUM(G112:G121)</f>
        <v>5185.95508585525</v>
      </c>
      <c r="H122" s="11" t="n">
        <f aca="false">SUM(H112:H121)</f>
        <v>5207.36514253099</v>
      </c>
      <c r="I122" s="11" t="n">
        <f aca="false">SUM(I112:I121)</f>
        <v>5256.80508327246</v>
      </c>
      <c r="J122" s="11" t="n">
        <f aca="false">SUM(J112:J121)</f>
        <v>5305.36005231146</v>
      </c>
      <c r="K122" s="11" t="n">
        <f aca="false">SUM(K112:K121)</f>
        <v>3807.53642495922</v>
      </c>
      <c r="L122" s="11" t="n">
        <f aca="false">SUM(L112:L121)</f>
        <v>3865.74890999299</v>
      </c>
      <c r="M122" s="11" t="n">
        <f aca="false">SUM(M112:M121)</f>
        <v>3917.7979316575</v>
      </c>
    </row>
    <row r="123" customFormat="false" ht="15" hidden="false" customHeight="false" outlineLevel="0" collapsed="false">
      <c r="A123" s="2" t="s">
        <v>510</v>
      </c>
      <c r="B123" s="0" t="s">
        <v>166</v>
      </c>
      <c r="D123" s="11" t="n">
        <f aca="false">ytd_int+int_lq-tlb*(ssn_r-swap_fix-tlb_sp)*1.5/12</f>
        <v>390.407875</v>
      </c>
      <c r="E123" s="11" t="n">
        <f aca="false">D112*(IF(2027&lt;=2028,swap_fix,sofr)+tlb_sp)+IF(2027=2031,ssn_31*(ssn_r*5/12+(sofr+stress_sp)*(12-5)/12),D114*ssn_r+D115*(sofr+stress_sp))+D116*uns_r+D117*re_r+D118*bi_r+fleet*fleet_r+finls*finls_r+D120*fp_r+D121*(sofr+new_r_sp)+int_cal*Thesis!E69/Thesis!D69-D110*cash_y</f>
        <v>335.413576659232</v>
      </c>
      <c r="F123" s="11" t="n">
        <f aca="false">E112*(IF(2028&lt;=2028,swap_fix,sofr)+tlb_sp)+IF(2028=2031,ssn_31*(ssn_r*5/12+(sofr+stress_sp)*(12-5)/12),E114*ssn_r+E115*(sofr+stress_sp))+E116*uns_r+E117*re_r+E118*bi_r+fleet*fleet_r+finls*finls_r+E120*fp_r+E121*(sofr+new_r_sp)+int_cal*Thesis!F69/Thesis!D69-E110*cash_y</f>
        <v>321.784328334305</v>
      </c>
      <c r="G123" s="11" t="n">
        <f aca="false">F112*(IF(2029&lt;=2028,swap_fix,sofr)+tlb_sp)+IF(2029=2031,ssn_31*(ssn_r*5/12+(sofr+stress_sp)*(12-5)/12),F114*ssn_r+F115*(sofr+stress_sp))+F116*uns_r+F117*re_r+F118*bi_r+fleet*fleet_r+finls*finls_r+F120*fp_r+F121*(sofr+new_r_sp)+int_cal*Thesis!G69/Thesis!D69-F110*cash_y</f>
        <v>298.863317743109</v>
      </c>
      <c r="H123" s="11" t="n">
        <f aca="false">G112*(IF(2030&lt;=2028,swap_fix,sofr)+tlb_sp)+IF(2030=2031,ssn_31*(ssn_r*5/12+(sofr+stress_sp)*(12-5)/12),G114*ssn_r+G115*(sofr+stress_sp))+G116*uns_r+G117*re_r+G118*bi_r+fleet*fleet_r+finls*finls_r+G120*fp_r+G121*(sofr+new_r_sp)+int_cal*Thesis!H69/Thesis!D69-G110*cash_y</f>
        <v>308.419557463736</v>
      </c>
      <c r="I123" s="11" t="n">
        <f aca="false">H112*(IF(2031&lt;=2028,swap_fix,sofr)+tlb_sp)+IF(2031=2031,ssn_31*(ssn_r*5/12+(sofr+stress_sp)*(12-5)/12),H114*ssn_r+H115*(sofr+stress_sp))+H116*uns_r+H117*re_r+H118*bi_r+fleet*fleet_r+finls*finls_r+H120*fp_r+H121*(sofr+new_r_sp)+int_cal*Thesis!I69/Thesis!D69-H110*cash_y</f>
        <v>318.530182031356</v>
      </c>
      <c r="J123" s="11" t="n">
        <f aca="false">I112*(IF(2032&lt;=2028,swap_fix,sofr)+tlb_sp)+IF(2032=2031,ssn_31*(ssn_r*5/12+(sofr+stress_sp)*(12-5)/12),I114*ssn_r+I115*(sofr+stress_sp))+I116*uns_r+I117*re_r+I118*bi_r+fleet*fleet_r+finls*finls_r+I120*fp_r+I121*(sofr+new_r_sp)+int_cal*Thesis!J69/Thesis!D69-I110*cash_y</f>
        <v>330.619900849393</v>
      </c>
      <c r="K123" s="11" t="n">
        <f aca="false">J112*(IF(2033&lt;=2028,swap_fix,sofr)+tlb_sp)+IF(2033=2031,ssn_31*(ssn_r*5/12+(sofr+stress_sp)*(12-5)/12),J114*ssn_r+J115*(sofr+stress_sp))+J116*uns_r+J117*re_r+J118*bi_r+fleet*fleet_r+finls*finls_r+J120*fp_r+J121*(sofr+new_r_sp)+int_cal*Thesis!K69/Thesis!D69-J110*cash_y</f>
        <v>342.933862333634</v>
      </c>
      <c r="L123" s="11" t="n">
        <f aca="false">K112*(IF(2034&lt;=2028,swap_fix,sofr)+tlb_sp)+IF(2034=2031,ssn_31*(ssn_r*5/12+(sofr+stress_sp)*(12-5)/12),K114*ssn_r+K115*(sofr+stress_sp))+K116*uns_r+K117*re_r+K118*bi_r+fleet*fleet_r+finls*finls_r+K120*fp_r+K121*(sofr+new_r_sp)+int_cal*Thesis!L69/Thesis!D69-K110*cash_y</f>
        <v>259.033409711549</v>
      </c>
      <c r="M123" s="11" t="n">
        <f aca="false">L112*(IF(2035&lt;=2028,swap_fix,sofr)+tlb_sp)+IF(2035=2031,ssn_31*(ssn_r*5/12+(sofr+stress_sp)*(12-5)/12),L114*ssn_r+L115*(sofr+stress_sp))+L116*uns_r+L117*re_r+L118*bi_r+fleet*fleet_r+finls*finls_r+L120*fp_r+L121*(sofr+new_r_sp)+int_cal*Thesis!M69/Thesis!D69-L110*cash_y</f>
        <v>270.380250249145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15" hidden="false" customHeight="false" outlineLevel="0" collapsed="false">
      <c r="A1" s="0" t="s">
        <v>664</v>
      </c>
    </row>
    <row r="2" customFormat="false" ht="17.15" hidden="false" customHeight="false" outlineLevel="0" collapsed="false">
      <c r="A2" s="2" t="s">
        <v>665</v>
      </c>
    </row>
    <row r="3" customFormat="false" ht="15" hidden="false" customHeight="false" outlineLevel="0" collapsed="false">
      <c r="A3" s="4" t="s">
        <v>14</v>
      </c>
      <c r="B3" s="4" t="s">
        <v>15</v>
      </c>
      <c r="C3" s="8" t="s">
        <v>554</v>
      </c>
      <c r="D3" s="8" t="s">
        <v>555</v>
      </c>
      <c r="E3" s="8" t="s">
        <v>556</v>
      </c>
      <c r="F3" s="8" t="s">
        <v>557</v>
      </c>
      <c r="G3" s="8" t="s">
        <v>558</v>
      </c>
      <c r="H3" s="8" t="s">
        <v>559</v>
      </c>
      <c r="I3" s="8" t="s">
        <v>560</v>
      </c>
      <c r="J3" s="8" t="s">
        <v>561</v>
      </c>
      <c r="K3" s="8" t="s">
        <v>562</v>
      </c>
      <c r="L3" s="8" t="s">
        <v>563</v>
      </c>
      <c r="M3" s="8" t="s">
        <v>564</v>
      </c>
    </row>
    <row r="5" customFormat="false" ht="17.15" hidden="false" customHeight="false" outlineLevel="0" collapsed="false">
      <c r="A5" s="5" t="s">
        <v>666</v>
      </c>
    </row>
    <row r="6" customFormat="false" ht="15" hidden="false" customHeight="false" outlineLevel="0" collapsed="false">
      <c r="A6" s="2" t="s">
        <v>663</v>
      </c>
      <c r="B6" s="0" t="s">
        <v>166</v>
      </c>
      <c r="D6" s="11" t="n">
        <f aca="false">CF!D46</f>
        <v>5275.62422232505</v>
      </c>
      <c r="E6" s="11" t="n">
        <f aca="false">CF!E46</f>
        <v>5397.51535522926</v>
      </c>
      <c r="F6" s="11" t="n">
        <f aca="false">CF!F46</f>
        <v>5562.35637026909</v>
      </c>
      <c r="G6" s="11" t="n">
        <f aca="false">CF!G46</f>
        <v>5749.97936855024</v>
      </c>
      <c r="H6" s="11" t="n">
        <f aca="false">CF!H46</f>
        <v>5952.78573597399</v>
      </c>
      <c r="I6" s="11" t="n">
        <f aca="false">CF!I46</f>
        <v>6205.18590267781</v>
      </c>
      <c r="J6" s="11" t="n">
        <f aca="false">CF!J46</f>
        <v>6471.8342354615</v>
      </c>
      <c r="K6" s="11" t="n">
        <f aca="false">CF!K46</f>
        <v>5083.94232231073</v>
      </c>
      <c r="L6" s="11" t="n">
        <f aca="false">CF!L46</f>
        <v>5126.09088336882</v>
      </c>
      <c r="M6" s="11" t="n">
        <f aca="false">CF!M46</f>
        <v>5169.08241564807</v>
      </c>
    </row>
    <row r="7" customFormat="false" ht="15" hidden="false" customHeight="false" outlineLevel="0" collapsed="false">
      <c r="A7" s="2" t="s">
        <v>667</v>
      </c>
      <c r="B7" s="0" t="s">
        <v>166</v>
      </c>
      <c r="D7" s="11" t="n">
        <f aca="false">CF!D34</f>
        <v>3854.24536034287</v>
      </c>
      <c r="E7" s="11" t="n">
        <f aca="false">CF!E34</f>
        <v>5000</v>
      </c>
      <c r="F7" s="11" t="n">
        <f aca="false">CF!F34</f>
        <v>5000</v>
      </c>
      <c r="G7" s="11" t="n">
        <f aca="false">CF!G34</f>
        <v>5000</v>
      </c>
      <c r="H7" s="11" t="n">
        <f aca="false">CF!H34</f>
        <v>5000</v>
      </c>
      <c r="I7" s="11" t="n">
        <f aca="false">CF!I34</f>
        <v>5000</v>
      </c>
      <c r="J7" s="11" t="n">
        <f aca="false">CF!J34</f>
        <v>5000</v>
      </c>
      <c r="K7" s="11" t="n">
        <f aca="false">CF!K34</f>
        <v>5000</v>
      </c>
      <c r="L7" s="11" t="n">
        <f aca="false">CF!L34</f>
        <v>5000</v>
      </c>
      <c r="M7" s="11" t="n">
        <f aca="false">CF!M34</f>
        <v>5000</v>
      </c>
    </row>
    <row r="8" customFormat="false" ht="17.15" hidden="false" customHeight="false" outlineLevel="0" collapsed="false">
      <c r="A8" s="0" t="s">
        <v>668</v>
      </c>
      <c r="B8" s="0" t="s">
        <v>166</v>
      </c>
      <c r="D8" s="11" t="n">
        <f aca="false">tra_0-tra_q4</f>
        <v>2130</v>
      </c>
      <c r="E8" s="11" t="n">
        <f aca="false">tra_0-tra_q4-SUM(CF!E26:E26)</f>
        <v>1988</v>
      </c>
      <c r="F8" s="11" t="n">
        <f aca="false">tra_0-tra_q4-SUM(CF!E26:F26)</f>
        <v>1846</v>
      </c>
      <c r="G8" s="11" t="n">
        <f aca="false">tra_0-tra_q4-SUM(CF!E26:G26)</f>
        <v>1704</v>
      </c>
      <c r="H8" s="11" t="n">
        <f aca="false">tra_0-tra_q4-SUM(CF!E26:H26)</f>
        <v>1562</v>
      </c>
      <c r="I8" s="11" t="n">
        <f aca="false">tra_0-tra_q4-SUM(CF!E26:I26)</f>
        <v>1420</v>
      </c>
      <c r="J8" s="11" t="n">
        <f aca="false">tra_0-tra_q4-SUM(CF!E26:J26)</f>
        <v>1278</v>
      </c>
      <c r="K8" s="11" t="n">
        <f aca="false">tra_0-tra_q4-SUM(CF!E26:K26)</f>
        <v>1136</v>
      </c>
      <c r="L8" s="11" t="n">
        <f aca="false">tra_0-tra_q4-SUM(CF!E26:L26)</f>
        <v>994</v>
      </c>
      <c r="M8" s="11" t="n">
        <f aca="false">tra_0-tra_q4-SUM(CF!E26:M26)</f>
        <v>852</v>
      </c>
    </row>
    <row r="9" customFormat="false" ht="17.15" hidden="false" customHeight="false" outlineLevel="0" collapsed="false">
      <c r="A9" s="2" t="s">
        <v>509</v>
      </c>
      <c r="B9" s="0" t="s">
        <v>166</v>
      </c>
      <c r="D9" s="11" t="n">
        <f aca="false">PL!D33</f>
        <v>2952.2070528</v>
      </c>
      <c r="E9" s="11" t="n">
        <f aca="false">PL!E33</f>
        <v>4515.971493088</v>
      </c>
      <c r="F9" s="11" t="n">
        <f aca="false">PL!F33</f>
        <v>6085.41880012439</v>
      </c>
      <c r="G9" s="11" t="n">
        <f aca="false">PL!G33</f>
        <v>7896.51054361516</v>
      </c>
      <c r="H9" s="11" t="n">
        <f aca="false">PL!H33</f>
        <v>9860.74063851241</v>
      </c>
      <c r="I9" s="11" t="n">
        <f aca="false">PL!I33</f>
        <v>11942.4364801569</v>
      </c>
      <c r="J9" s="11" t="n">
        <f aca="false">PL!J33</f>
        <v>14133.5543408468</v>
      </c>
      <c r="K9" s="11" t="n">
        <f aca="false">PL!K33</f>
        <v>15468.5412618468</v>
      </c>
      <c r="L9" s="11" t="n">
        <f aca="false">PL!L33</f>
        <v>15791.0028954769</v>
      </c>
      <c r="M9" s="11" t="n">
        <f aca="false">PL!M33</f>
        <v>16109.6184307036</v>
      </c>
    </row>
    <row r="10" customFormat="false" ht="17.15" hidden="false" customHeight="false" outlineLevel="0" collapsed="false">
      <c r="A10" s="2" t="s">
        <v>669</v>
      </c>
      <c r="B10" s="0" t="s">
        <v>166</v>
      </c>
      <c r="D10" s="11" t="n">
        <f aca="false">D9-Thesis!D17</f>
        <v>1479.5870528</v>
      </c>
      <c r="E10" s="11" t="n">
        <f aca="false">E9-Thesis!E17</f>
        <v>2418.534493408</v>
      </c>
      <c r="F10" s="11" t="n">
        <f aca="false">F9-Thesis!F17</f>
        <v>3347.00505334218</v>
      </c>
      <c r="G10" s="11" t="n">
        <f aca="false">G9-Thesis!G17</f>
        <v>4432.96483668502</v>
      </c>
      <c r="H10" s="11" t="n">
        <f aca="false">H9-Thesis!H17</f>
        <v>5621.36069322992</v>
      </c>
      <c r="I10" s="11" t="n">
        <f aca="false">I9-Thesis!I17</f>
        <v>6857.21544819163</v>
      </c>
      <c r="J10" s="11" t="n">
        <f aca="false">J9-Thesis!J17</f>
        <v>8158.21621944638</v>
      </c>
      <c r="K10" s="11" t="n">
        <f aca="false">K9-Thesis!K17</f>
        <v>8952.3072663662</v>
      </c>
      <c r="L10" s="11" t="n">
        <f aca="false">L9-Thesis!L17</f>
        <v>9144.44422008663</v>
      </c>
      <c r="M10" s="11" t="n">
        <f aca="false">M9-Thesis!M17</f>
        <v>9330.12858180558</v>
      </c>
    </row>
    <row r="11" customFormat="false" ht="17.15" hidden="false" customHeight="false" outlineLevel="0" collapsed="false">
      <c r="A11" s="2" t="s">
        <v>670</v>
      </c>
      <c r="B11" s="0" t="s">
        <v>387</v>
      </c>
      <c r="D11" s="14" t="n">
        <f aca="false">D6/D9</f>
        <v>1.78701023606099</v>
      </c>
      <c r="E11" s="14" t="n">
        <f aca="false">E6/E9</f>
        <v>1.19520580754119</v>
      </c>
      <c r="F11" s="14" t="n">
        <f aca="false">F6/F9</f>
        <v>0.914046601058154</v>
      </c>
      <c r="G11" s="14" t="n">
        <f aca="false">G6/G9</f>
        <v>0.728167123540343</v>
      </c>
      <c r="H11" s="14" t="n">
        <f aca="false">H6/H9</f>
        <v>0.603685458749885</v>
      </c>
      <c r="I11" s="14" t="n">
        <f aca="false">I6/I9</f>
        <v>0.519591283821198</v>
      </c>
      <c r="J11" s="14" t="n">
        <f aca="false">J6/J9</f>
        <v>0.457905639260006</v>
      </c>
      <c r="K11" s="14" t="n">
        <f aca="false">K6/K9</f>
        <v>0.328663332647292</v>
      </c>
      <c r="L11" s="14" t="n">
        <f aca="false">L6/L9</f>
        <v>0.324620983055935</v>
      </c>
      <c r="M11" s="14" t="n">
        <f aca="false">M6/M9</f>
        <v>0.320869326476176</v>
      </c>
    </row>
    <row r="12" customFormat="false" ht="17.15" hidden="false" customHeight="false" outlineLevel="0" collapsed="false">
      <c r="A12" s="2" t="s">
        <v>671</v>
      </c>
      <c r="B12" s="0" t="s">
        <v>387</v>
      </c>
      <c r="D12" s="14" t="n">
        <f aca="false">(D6-D7)/D9</f>
        <v>0.481463134719526</v>
      </c>
      <c r="E12" s="14" t="n">
        <f aca="false">(E6-E7)/E9</f>
        <v>0.0880243278412364</v>
      </c>
      <c r="F12" s="14" t="n">
        <f aca="false">(F6-F7)/F9</f>
        <v>0.0924104632301713</v>
      </c>
      <c r="G12" s="14" t="n">
        <f aca="false">(G6-G7)/G9</f>
        <v>0.0949760485226796</v>
      </c>
      <c r="H12" s="14" t="n">
        <f aca="false">(H6-H7)/H9</f>
        <v>0.0966241554161523</v>
      </c>
      <c r="I12" s="14" t="n">
        <f aca="false">(I6-I7)/I9</f>
        <v>0.100916249768655</v>
      </c>
      <c r="J12" s="14" t="n">
        <f aca="false">(J6-J7)/J9</f>
        <v>0.104137586340034</v>
      </c>
      <c r="K12" s="14" t="n">
        <f aca="false">(K6-K7)/K9</f>
        <v>0.00542664759978198</v>
      </c>
      <c r="L12" s="14" t="n">
        <f aca="false">(L6-L7)/L9</f>
        <v>0.00798498260075263</v>
      </c>
      <c r="M12" s="14" t="n">
        <f aca="false">(M6-M7)/M9</f>
        <v>0.0104957430478805</v>
      </c>
    </row>
    <row r="13" customFormat="false" ht="17.15" hidden="false" customHeight="false" outlineLevel="0" collapsed="false">
      <c r="A13" s="2" t="s">
        <v>672</v>
      </c>
      <c r="B13" s="0" t="s">
        <v>387</v>
      </c>
      <c r="D13" s="14" t="n">
        <f aca="false">IF(D10&gt;0,D6/D10,"EBITDA≤0")</f>
        <v>3.56560583058723</v>
      </c>
      <c r="E13" s="14" t="n">
        <f aca="false">IF(E10&gt;0,E6/E10,"EBITDA≤0")</f>
        <v>2.23172973961745</v>
      </c>
      <c r="F13" s="14" t="n">
        <f aca="false">IF(F10&gt;0,F6/F10,"EBITDA≤0")</f>
        <v>1.661890640026</v>
      </c>
      <c r="G13" s="14" t="n">
        <f aca="false">IF(G10&gt;0,G6/G10,"EBITDA≤0")</f>
        <v>1.29709564149173</v>
      </c>
      <c r="H13" s="14" t="n">
        <f aca="false">IF(H10&gt;0,H6/H10,"EBITDA≤0")</f>
        <v>1.05895815280867</v>
      </c>
      <c r="I13" s="14" t="n">
        <f aca="false">IF(I10&gt;0,I6/I10,"EBITDA≤0")</f>
        <v>0.90491336455153</v>
      </c>
      <c r="J13" s="14" t="n">
        <f aca="false">IF(J10&gt;0,J6/J10,"EBITDA≤0")</f>
        <v>0.793290354334428</v>
      </c>
      <c r="K13" s="14" t="n">
        <f aca="false">IF(K10&gt;0,K6/K10,"EBITDA≤0")</f>
        <v>0.567891848552953</v>
      </c>
      <c r="L13" s="14" t="n">
        <f aca="false">IF(L10&gt;0,L6/L10,"EBITDA≤0")</f>
        <v>0.560568883137684</v>
      </c>
      <c r="M13" s="14" t="n">
        <f aca="false">IF(M10&gt;0,M6/M10,"EBITDA≤0")</f>
        <v>0.554020490749522</v>
      </c>
    </row>
    <row r="14" customFormat="false" ht="17.15" hidden="false" customHeight="false" outlineLevel="0" collapsed="false">
      <c r="A14" s="2" t="s">
        <v>673</v>
      </c>
      <c r="B14" s="0" t="s">
        <v>387</v>
      </c>
      <c r="D14" s="14" t="n">
        <f aca="false">(D6+D8)/D9</f>
        <v>2.50850434602859</v>
      </c>
      <c r="E14" s="14" t="n">
        <f aca="false">(E6+E8)/E9</f>
        <v>1.6354211638699</v>
      </c>
      <c r="F14" s="14" t="n">
        <f aca="false">(F6+F8)/F9</f>
        <v>1.21739466314425</v>
      </c>
      <c r="G14" s="14" t="n">
        <f aca="false">(G6+G8)/G9</f>
        <v>0.943958641906363</v>
      </c>
      <c r="H14" s="14" t="n">
        <f aca="false">(H6+H8)/H9</f>
        <v>0.762091409911343</v>
      </c>
      <c r="I14" s="14" t="n">
        <f aca="false">(I6+I8)/I9</f>
        <v>0.638494993492119</v>
      </c>
      <c r="J14" s="14" t="n">
        <f aca="false">(J6+J8)/J9</f>
        <v>0.548328753586351</v>
      </c>
      <c r="K14" s="14" t="n">
        <f aca="false">(K6+K8)/K9</f>
        <v>0.402102707490087</v>
      </c>
      <c r="L14" s="14" t="n">
        <f aca="false">(L6+L8)/L9</f>
        <v>0.387568219946425</v>
      </c>
      <c r="M14" s="14" t="n">
        <f aca="false">(M6+M8)/M9</f>
        <v>0.373756985092358</v>
      </c>
    </row>
    <row r="15" customFormat="false" ht="17.15" hidden="false" customHeight="false" outlineLevel="0" collapsed="false">
      <c r="A15" s="2" t="s">
        <v>674</v>
      </c>
      <c r="B15" s="0" t="s">
        <v>387</v>
      </c>
      <c r="D15" s="14" t="n">
        <f aca="false">IF(CF!D47&lt;=0,"淨利息收入",(D9-CF!D24)/CF!D47)</f>
        <v>6.95735723261217</v>
      </c>
      <c r="E15" s="14" t="n">
        <f aca="false">IF(CF!E47&lt;=0,"淨利息收入",(E9-CF!E24)/CF!E47)</f>
        <v>11.5534509302665</v>
      </c>
      <c r="F15" s="14" t="n">
        <f aca="false">IF(CF!F47&lt;=0,"淨利息收入",(F9-CF!F24)/CF!F47)</f>
        <v>16.2329165376515</v>
      </c>
      <c r="G15" s="14" t="n">
        <f aca="false">IF(CF!G47&lt;=0,"淨利息收入",(G9-CF!G24)/CF!G47)</f>
        <v>20.6995433558633</v>
      </c>
      <c r="H15" s="14" t="n">
        <f aca="false">IF(CF!H47&lt;=0,"淨利息收入",(H9-CF!H24)/CF!H47)</f>
        <v>22.8793991888667</v>
      </c>
      <c r="I15" s="14" t="n">
        <f aca="false">IF(CF!I47&lt;=0,"淨利息收入",(I9-CF!I24)/CF!I47)</f>
        <v>24.6272995438601</v>
      </c>
      <c r="J15" s="14" t="n">
        <f aca="false">IF(CF!J47&lt;=0,"淨利息收入",(J9-CF!J24)/CF!J47)</f>
        <v>26.1987337268138</v>
      </c>
      <c r="K15" s="14" t="n">
        <f aca="false">IF(CF!K47&lt;=0,"淨利息收入",(K9-CF!K24)/CF!K47)</f>
        <v>26.7410474891409</v>
      </c>
      <c r="L15" s="14" t="n">
        <f aca="false">IF(CF!L47&lt;=0,"淨利息收入",(L9-CF!L24)/CF!L47)</f>
        <v>31.8297651929827</v>
      </c>
      <c r="M15" s="14" t="n">
        <f aca="false">IF(CF!M47&lt;=0,"淨利息收入",(M9-CF!M24)/CF!M47)</f>
        <v>31.8761427314138</v>
      </c>
    </row>
    <row r="16" customFormat="false" ht="15" hidden="false" customHeight="false" outlineLevel="0" collapsed="false">
      <c r="A16" s="2" t="s">
        <v>675</v>
      </c>
      <c r="B16" s="0" t="s">
        <v>47</v>
      </c>
      <c r="D16" s="10" t="n">
        <f aca="false">CF!D25/D6</f>
        <v>0.307498277356063</v>
      </c>
      <c r="E16" s="10" t="n">
        <f aca="false">CF!E25/E6</f>
        <v>0.521699929850167</v>
      </c>
      <c r="F16" s="10" t="n">
        <f aca="false">CF!F25/F6</f>
        <v>0.706568253143763</v>
      </c>
      <c r="G16" s="10" t="n">
        <f aca="false">CF!G25/G6</f>
        <v>0.784939573663646</v>
      </c>
      <c r="H16" s="10" t="n">
        <f aca="false">CF!H25/H6</f>
        <v>0.967448866042385</v>
      </c>
      <c r="I16" s="10" t="n">
        <f aca="false">CF!I25/I6</f>
        <v>1.16013002800017</v>
      </c>
      <c r="J16" s="10" t="n">
        <f aca="false">CF!J25/J6</f>
        <v>1.37534119819274</v>
      </c>
      <c r="K16" s="10" t="n">
        <f aca="false">CF!K25/K6</f>
        <v>2.10114360004419</v>
      </c>
      <c r="L16" s="10" t="n">
        <f aca="false">CF!L25/L6</f>
        <v>2.29297832844166</v>
      </c>
      <c r="M16" s="10" t="n">
        <f aca="false">CF!M25/M6</f>
        <v>2.32012932728916</v>
      </c>
    </row>
    <row r="17" customFormat="false" ht="17.15" hidden="false" customHeight="false" outlineLevel="0" collapsed="false">
      <c r="A17" s="0" t="s">
        <v>676</v>
      </c>
      <c r="B17" s="0" t="s">
        <v>50</v>
      </c>
      <c r="D17" s="0" t="str">
        <f aca="false">IF(AND(D11&lt;moody_lev,OR(CF!D47&lt;=0,(D9-CF!D24)/CF!D47&gt;moody_cov)),"符合","未符合")</f>
        <v>符合</v>
      </c>
      <c r="E17" s="0" t="str">
        <f aca="false">IF(AND(E11&lt;moody_lev,OR(CF!E47&lt;=0,(E9-CF!E24)/CF!E47&gt;moody_cov)),"符合","未符合")</f>
        <v>符合</v>
      </c>
      <c r="F17" s="0" t="str">
        <f aca="false">IF(AND(F11&lt;moody_lev,OR(CF!F47&lt;=0,(F9-CF!F24)/CF!F47&gt;moody_cov)),"符合","未符合")</f>
        <v>符合</v>
      </c>
      <c r="G17" s="0" t="str">
        <f aca="false">IF(AND(G11&lt;moody_lev,OR(CF!G47&lt;=0,(G9-CF!G24)/CF!G47&gt;moody_cov)),"符合","未符合")</f>
        <v>符合</v>
      </c>
      <c r="H17" s="0" t="str">
        <f aca="false">IF(AND(H11&lt;moody_lev,OR(CF!H47&lt;=0,(H9-CF!H24)/CF!H47&gt;moody_cov)),"符合","未符合")</f>
        <v>符合</v>
      </c>
      <c r="I17" s="0" t="str">
        <f aca="false">IF(AND(I11&lt;moody_lev,OR(CF!I47&lt;=0,(I9-CF!I24)/CF!I47&gt;moody_cov)),"符合","未符合")</f>
        <v>符合</v>
      </c>
      <c r="J17" s="0" t="str">
        <f aca="false">IF(AND(J11&lt;moody_lev,OR(CF!J47&lt;=0,(J9-CF!J24)/CF!J47&gt;moody_cov)),"符合","未符合")</f>
        <v>符合</v>
      </c>
      <c r="K17" s="0" t="str">
        <f aca="false">IF(AND(K11&lt;moody_lev,OR(CF!K47&lt;=0,(K9-CF!K24)/CF!K47&gt;moody_cov)),"符合","未符合")</f>
        <v>符合</v>
      </c>
      <c r="L17" s="0" t="str">
        <f aca="false">IF(AND(L11&lt;moody_lev,OR(CF!L47&lt;=0,(L9-CF!L24)/CF!L47&gt;moody_cov)),"符合","未符合")</f>
        <v>符合</v>
      </c>
      <c r="M17" s="0" t="str">
        <f aca="false">IF(AND(M11&lt;moody_lev,OR(CF!M47&lt;=0,(M9-CF!M24)/CF!M47&gt;moody_cov)),"符合","未符合")</f>
        <v>符合</v>
      </c>
    </row>
    <row r="18" customFormat="false" ht="17.15" hidden="false" customHeight="false" outlineLevel="0" collapsed="false">
      <c r="A18" s="0" t="s">
        <v>677</v>
      </c>
      <c r="B18" s="0" t="s">
        <v>50</v>
      </c>
      <c r="D18" s="0" t="str">
        <f aca="false">IF(AND(D11&lt;sp_lev,D16&gt;sp_focf),"符合","未符合")</f>
        <v>符合</v>
      </c>
      <c r="E18" s="0" t="str">
        <f aca="false">IF(AND(E11&lt;sp_lev,E16&gt;sp_focf),"符合","未符合")</f>
        <v>符合</v>
      </c>
      <c r="F18" s="0" t="str">
        <f aca="false">IF(AND(F11&lt;sp_lev,F16&gt;sp_focf),"符合","未符合")</f>
        <v>符合</v>
      </c>
      <c r="G18" s="0" t="str">
        <f aca="false">IF(AND(G11&lt;sp_lev,G16&gt;sp_focf),"符合","未符合")</f>
        <v>符合</v>
      </c>
      <c r="H18" s="0" t="str">
        <f aca="false">IF(AND(H11&lt;sp_lev,H16&gt;sp_focf),"符合","未符合")</f>
        <v>符合</v>
      </c>
      <c r="I18" s="0" t="str">
        <f aca="false">IF(AND(I11&lt;sp_lev,I16&gt;sp_focf),"符合","未符合")</f>
        <v>符合</v>
      </c>
      <c r="J18" s="0" t="str">
        <f aca="false">IF(AND(J11&lt;sp_lev,J16&gt;sp_focf),"符合","未符合")</f>
        <v>符合</v>
      </c>
      <c r="K18" s="0" t="str">
        <f aca="false">IF(AND(K11&lt;sp_lev,K16&gt;sp_focf),"符合","未符合")</f>
        <v>符合</v>
      </c>
      <c r="L18" s="0" t="str">
        <f aca="false">IF(AND(L11&lt;sp_lev,L16&gt;sp_focf),"符合","未符合")</f>
        <v>符合</v>
      </c>
      <c r="M18" s="0" t="str">
        <f aca="false">IF(AND(M11&lt;sp_lev,M16&gt;sp_focf),"符合","未符合")</f>
        <v>符合</v>
      </c>
    </row>
    <row r="19" customFormat="false" ht="17.15" hidden="false" customHeight="false" outlineLevel="0" collapsed="false">
      <c r="A19" s="2" t="s">
        <v>678</v>
      </c>
      <c r="B19" s="0" t="s">
        <v>47</v>
      </c>
      <c r="D19" s="15" t="n">
        <f aca="false">(ally_cap+fp_unused/fp_yrs)/Thesis!D15</f>
        <v>0.751824097811083</v>
      </c>
      <c r="E19" s="15" t="n">
        <f aca="false">(ally_cap+fp_unused/fp_yrs)/Thesis!E15</f>
        <v>0.558395794571511</v>
      </c>
    </row>
    <row r="20" customFormat="false" ht="17.15" hidden="false" customHeight="false" outlineLevel="0" collapsed="false">
      <c r="A20" s="2" t="s">
        <v>679</v>
      </c>
      <c r="B20" s="0" t="s">
        <v>47</v>
      </c>
      <c r="D20" s="15" t="n">
        <f aca="false">(ally_cap+fp_unused/fp_yrs+abs_rr)/Thesis!D15</f>
        <v>1.005171016017</v>
      </c>
      <c r="E20" s="15" t="n">
        <f aca="false">(ally_cap+fp_unused/fp_yrs+abs_rr)/Thesis!E15</f>
        <v>0.746561954855171</v>
      </c>
    </row>
    <row r="21" customFormat="false" ht="17.15" hidden="false" customHeight="false" outlineLevel="0" collapsed="false">
      <c r="A21" s="2" t="s">
        <v>680</v>
      </c>
      <c r="B21" s="0" t="s">
        <v>387</v>
      </c>
      <c r="D21" s="16" t="n">
        <f aca="false">px*sh_fx/D6</f>
        <v>13.6698003801751</v>
      </c>
    </row>
    <row r="23" customFormat="false" ht="17.15" hidden="false" customHeight="false" outlineLevel="0" collapsed="false">
      <c r="A23" s="5" t="s">
        <v>681</v>
      </c>
    </row>
    <row r="24" customFormat="false" ht="15" hidden="false" customHeight="false" outlineLevel="0" collapsed="false">
      <c r="A24" s="2" t="s">
        <v>663</v>
      </c>
      <c r="B24" s="0" t="s">
        <v>166</v>
      </c>
      <c r="D24" s="11" t="n">
        <f aca="false">CF!D84</f>
        <v>5275.62422232505</v>
      </c>
      <c r="E24" s="11" t="n">
        <f aca="false">CF!E84</f>
        <v>5362.76574320052</v>
      </c>
      <c r="F24" s="11" t="n">
        <f aca="false">CF!F84</f>
        <v>5465.79473271856</v>
      </c>
      <c r="G24" s="11" t="n">
        <f aca="false">CF!G84</f>
        <v>5569.05562810472</v>
      </c>
      <c r="H24" s="11" t="n">
        <f aca="false">CF!H84</f>
        <v>5666.07527891951</v>
      </c>
      <c r="I24" s="11" t="n">
        <f aca="false">CF!I84</f>
        <v>5794.13434220967</v>
      </c>
      <c r="J24" s="11" t="n">
        <f aca="false">CF!J84</f>
        <v>5922.31257530348</v>
      </c>
      <c r="K24" s="11" t="n">
        <f aca="false">CF!K84</f>
        <v>4502.09739147727</v>
      </c>
      <c r="L24" s="11" t="n">
        <f aca="false">CF!L84</f>
        <v>4632.55736492377</v>
      </c>
      <c r="M24" s="11" t="n">
        <f aca="false">CF!M84</f>
        <v>4748.02021251721</v>
      </c>
    </row>
    <row r="25" customFormat="false" ht="15" hidden="false" customHeight="false" outlineLevel="0" collapsed="false">
      <c r="A25" s="2" t="s">
        <v>667</v>
      </c>
      <c r="B25" s="0" t="s">
        <v>166</v>
      </c>
      <c r="D25" s="11" t="n">
        <f aca="false">CF!D72</f>
        <v>3854.24536034287</v>
      </c>
      <c r="E25" s="11" t="n">
        <f aca="false">CF!E72</f>
        <v>5000</v>
      </c>
      <c r="F25" s="11" t="n">
        <f aca="false">CF!F72</f>
        <v>5000</v>
      </c>
      <c r="G25" s="11" t="n">
        <f aca="false">CF!G72</f>
        <v>5000</v>
      </c>
      <c r="H25" s="11" t="n">
        <f aca="false">CF!H72</f>
        <v>5000</v>
      </c>
      <c r="I25" s="11" t="n">
        <f aca="false">CF!I72</f>
        <v>5000</v>
      </c>
      <c r="J25" s="11" t="n">
        <f aca="false">CF!J72</f>
        <v>5000</v>
      </c>
      <c r="K25" s="11" t="n">
        <f aca="false">CF!K72</f>
        <v>5000</v>
      </c>
      <c r="L25" s="11" t="n">
        <f aca="false">CF!L72</f>
        <v>5000</v>
      </c>
      <c r="M25" s="11" t="n">
        <f aca="false">CF!M72</f>
        <v>5000</v>
      </c>
    </row>
    <row r="26" customFormat="false" ht="17.15" hidden="false" customHeight="false" outlineLevel="0" collapsed="false">
      <c r="A26" s="0" t="s">
        <v>668</v>
      </c>
      <c r="B26" s="0" t="s">
        <v>166</v>
      </c>
      <c r="D26" s="11" t="n">
        <f aca="false">tra_0-tra_q4</f>
        <v>2130</v>
      </c>
      <c r="E26" s="11" t="n">
        <f aca="false">tra_0-tra_q4-SUM(CF!E64:E64)</f>
        <v>1988</v>
      </c>
      <c r="F26" s="11" t="n">
        <f aca="false">tra_0-tra_q4-SUM(CF!E64:F64)</f>
        <v>1846</v>
      </c>
      <c r="G26" s="11" t="n">
        <f aca="false">tra_0-tra_q4-SUM(CF!E64:G64)</f>
        <v>1704</v>
      </c>
      <c r="H26" s="11" t="n">
        <f aca="false">tra_0-tra_q4-SUM(CF!E64:H64)</f>
        <v>1562</v>
      </c>
      <c r="I26" s="11" t="n">
        <f aca="false">tra_0-tra_q4-SUM(CF!E64:I64)</f>
        <v>1420</v>
      </c>
      <c r="J26" s="11" t="n">
        <f aca="false">tra_0-tra_q4-SUM(CF!E64:J64)</f>
        <v>1278</v>
      </c>
      <c r="K26" s="11" t="n">
        <f aca="false">tra_0-tra_q4-SUM(CF!E64:K64)</f>
        <v>1136</v>
      </c>
      <c r="L26" s="11" t="n">
        <f aca="false">tra_0-tra_q4-SUM(CF!E64:L64)</f>
        <v>994</v>
      </c>
      <c r="M26" s="11" t="n">
        <f aca="false">tra_0-tra_q4-SUM(CF!E64:M64)</f>
        <v>852</v>
      </c>
    </row>
    <row r="27" customFormat="false" ht="17.15" hidden="false" customHeight="false" outlineLevel="0" collapsed="false">
      <c r="A27" s="2" t="s">
        <v>509</v>
      </c>
      <c r="B27" s="0" t="s">
        <v>166</v>
      </c>
      <c r="D27" s="11" t="n">
        <f aca="false">PL!D62</f>
        <v>2952.2070528</v>
      </c>
      <c r="E27" s="11" t="n">
        <f aca="false">PL!E62</f>
        <v>3862.045827</v>
      </c>
      <c r="F27" s="11" t="n">
        <f aca="false">PL!F62</f>
        <v>4725.6852175555</v>
      </c>
      <c r="G27" s="11" t="n">
        <f aca="false">PL!G62</f>
        <v>5598.28954966565</v>
      </c>
      <c r="H27" s="11" t="n">
        <f aca="false">PL!H62</f>
        <v>6411.57541419161</v>
      </c>
      <c r="I27" s="11" t="n">
        <f aca="false">PL!I62</f>
        <v>7317.69511474794</v>
      </c>
      <c r="J27" s="11" t="n">
        <f aca="false">PL!J62</f>
        <v>8217.47550413704</v>
      </c>
      <c r="K27" s="11" t="n">
        <f aca="false">PL!K62</f>
        <v>9080.08393783656</v>
      </c>
      <c r="L27" s="11" t="n">
        <f aca="false">PL!L62</f>
        <v>9872.44473486242</v>
      </c>
      <c r="M27" s="11" t="n">
        <f aca="false">PL!M62</f>
        <v>10561.1201013693</v>
      </c>
    </row>
    <row r="28" customFormat="false" ht="17.15" hidden="false" customHeight="false" outlineLevel="0" collapsed="false">
      <c r="A28" s="2" t="s">
        <v>669</v>
      </c>
      <c r="B28" s="0" t="s">
        <v>166</v>
      </c>
      <c r="D28" s="11" t="n">
        <f aca="false">D27-Thesis!D44</f>
        <v>1479.5870528</v>
      </c>
      <c r="E28" s="11" t="n">
        <f aca="false">E27-Thesis!E44</f>
        <v>2074.457475</v>
      </c>
      <c r="F28" s="11" t="n">
        <f aca="false">F27-Thesis!F44</f>
        <v>2557.9364093635</v>
      </c>
      <c r="G28" s="11" t="n">
        <f aca="false">G27-Thesis!G44</f>
        <v>3046.42780826282</v>
      </c>
      <c r="H28" s="11" t="n">
        <f aca="false">H27-Thesis!H44</f>
        <v>3498.04745636336</v>
      </c>
      <c r="I28" s="11" t="n">
        <f aca="false">I27-Thesis!I44</f>
        <v>4007.11156682685</v>
      </c>
      <c r="J28" s="11" t="n">
        <f aca="false">J27-Thesis!J44</f>
        <v>4509.75435380734</v>
      </c>
      <c r="K28" s="11" t="n">
        <f aca="false">K27-Thesis!K44</f>
        <v>4988.09456748669</v>
      </c>
      <c r="L28" s="11" t="n">
        <f aca="false">L27-Thesis!L44</f>
        <v>5423.1428526936</v>
      </c>
      <c r="M28" s="11" t="n">
        <f aca="false">M27-Thesis!M44</f>
        <v>5795.91778556648</v>
      </c>
    </row>
    <row r="29" customFormat="false" ht="17.15" hidden="false" customHeight="false" outlineLevel="0" collapsed="false">
      <c r="A29" s="2" t="s">
        <v>670</v>
      </c>
      <c r="B29" s="0" t="s">
        <v>387</v>
      </c>
      <c r="D29" s="14" t="n">
        <f aca="false">D24/D27</f>
        <v>1.78701023606099</v>
      </c>
      <c r="E29" s="14" t="n">
        <f aca="false">E24/E27</f>
        <v>1.38858159209526</v>
      </c>
      <c r="F29" s="14" t="n">
        <f aca="false">F24/F27</f>
        <v>1.15661422229598</v>
      </c>
      <c r="G29" s="14" t="n">
        <f aca="false">G24/G27</f>
        <v>0.994778061888087</v>
      </c>
      <c r="H29" s="14" t="n">
        <f aca="false">H24/H27</f>
        <v>0.883725903992024</v>
      </c>
      <c r="I29" s="14" t="n">
        <f aca="false">I24/I27</f>
        <v>0.791797724741535</v>
      </c>
      <c r="J29" s="14" t="n">
        <f aca="false">J24/J27</f>
        <v>0.720697320280654</v>
      </c>
      <c r="K29" s="14" t="n">
        <f aca="false">K24/K27</f>
        <v>0.495821120410253</v>
      </c>
      <c r="L29" s="14" t="n">
        <f aca="false">L24/L27</f>
        <v>0.469241154479689</v>
      </c>
      <c r="M29" s="14" t="n">
        <f aca="false">M24/M27</f>
        <v>0.449575439626107</v>
      </c>
    </row>
    <row r="30" customFormat="false" ht="17.15" hidden="false" customHeight="false" outlineLevel="0" collapsed="false">
      <c r="A30" s="2" t="s">
        <v>671</v>
      </c>
      <c r="B30" s="0" t="s">
        <v>387</v>
      </c>
      <c r="D30" s="14" t="n">
        <f aca="false">(D24-D25)/D27</f>
        <v>0.481463134719526</v>
      </c>
      <c r="E30" s="14" t="n">
        <f aca="false">(E24-E25)/E27</f>
        <v>0.0939309784115939</v>
      </c>
      <c r="F30" s="14" t="n">
        <f aca="false">(F24-F25)/F27</f>
        <v>0.0985666017254326</v>
      </c>
      <c r="G30" s="14" t="n">
        <f aca="false">(G24-G25)/G27</f>
        <v>0.101648123602094</v>
      </c>
      <c r="H30" s="14" t="n">
        <f aca="false">(H24-H25)/H27</f>
        <v>0.103886367373173</v>
      </c>
      <c r="I30" s="14" t="n">
        <f aca="false">(I24-I25)/I27</f>
        <v>0.108522469132279</v>
      </c>
      <c r="J30" s="14" t="n">
        <f aca="false">(J24-J25)/J27</f>
        <v>0.112237946415435</v>
      </c>
      <c r="K30" s="14" t="n">
        <f aca="false">(K24-K25)/K27</f>
        <v>-0.0548345821394866</v>
      </c>
      <c r="L30" s="14" t="n">
        <f aca="false">(L24-L25)/L27</f>
        <v>-0.0372190115968622</v>
      </c>
      <c r="M30" s="14" t="n">
        <f aca="false">(M24-M25)/M27</f>
        <v>-0.0238591915501579</v>
      </c>
    </row>
    <row r="31" customFormat="false" ht="17.15" hidden="false" customHeight="false" outlineLevel="0" collapsed="false">
      <c r="A31" s="2" t="s">
        <v>672</v>
      </c>
      <c r="B31" s="0" t="s">
        <v>387</v>
      </c>
      <c r="D31" s="14" t="n">
        <f aca="false">IF(D28&gt;0,D24/D28,"EBITDA≤0")</f>
        <v>3.56560583058723</v>
      </c>
      <c r="E31" s="14" t="n">
        <f aca="false">IF(E28&gt;0,E24/E28,"EBITDA≤0")</f>
        <v>2.58514132385409</v>
      </c>
      <c r="F31" s="14" t="n">
        <f aca="false">IF(F28&gt;0,F24/F28,"EBITDA≤0")</f>
        <v>2.13679851958424</v>
      </c>
      <c r="G31" s="14" t="n">
        <f aca="false">IF(G28&gt;0,G24/G28,"EBITDA≤0")</f>
        <v>1.82806092204115</v>
      </c>
      <c r="H31" s="14" t="n">
        <f aca="false">IF(H28&gt;0,H24/H28,"EBITDA≤0")</f>
        <v>1.61978227842857</v>
      </c>
      <c r="I31" s="14" t="n">
        <f aca="false">IF(I28&gt;0,I24/I28,"EBITDA≤0")</f>
        <v>1.44596282024608</v>
      </c>
      <c r="J31" s="14" t="n">
        <f aca="false">IF(J28&gt;0,J24/J28,"EBITDA≤0")</f>
        <v>1.31322287439084</v>
      </c>
      <c r="K31" s="14" t="n">
        <f aca="false">IF(K28&gt;0,K24/K28,"EBITDA≤0")</f>
        <v>0.902568572140303</v>
      </c>
      <c r="L31" s="14" t="n">
        <f aca="false">IF(L28&gt;0,L24/L28,"EBITDA≤0")</f>
        <v>0.854220051131946</v>
      </c>
      <c r="M31" s="14" t="n">
        <f aca="false">IF(M28&gt;0,M24/M28,"EBITDA≤0")</f>
        <v>0.819200752698935</v>
      </c>
    </row>
    <row r="32" customFormat="false" ht="17.15" hidden="false" customHeight="false" outlineLevel="0" collapsed="false">
      <c r="A32" s="2" t="s">
        <v>673</v>
      </c>
      <c r="B32" s="0" t="s">
        <v>387</v>
      </c>
      <c r="D32" s="14" t="n">
        <f aca="false">(D24+D26)/D27</f>
        <v>2.50850434602859</v>
      </c>
      <c r="E32" s="14" t="n">
        <f aca="false">(E24+E26)/E27</f>
        <v>1.90333467609589</v>
      </c>
      <c r="F32" s="14" t="n">
        <f aca="false">(F24+F26)/F27</f>
        <v>1.54724540381062</v>
      </c>
      <c r="G32" s="14" t="n">
        <f aca="false">(G24+G26)/G27</f>
        <v>1.29915674485595</v>
      </c>
      <c r="H32" s="14" t="n">
        <f aca="false">(H24+H26)/H27</f>
        <v>1.12734777523175</v>
      </c>
      <c r="I32" s="14" t="n">
        <f aca="false">(I24+I26)/I27</f>
        <v>0.985847897334564</v>
      </c>
      <c r="J32" s="14" t="n">
        <f aca="false">(J24+J26)/J27</f>
        <v>0.876219536240604</v>
      </c>
      <c r="K32" s="14" t="n">
        <f aca="false">(K24+K26)/K27</f>
        <v>0.620930096029554</v>
      </c>
      <c r="L32" s="14" t="n">
        <f aca="false">(L24+L26)/L27</f>
        <v>0.569925435495708</v>
      </c>
      <c r="M32" s="14" t="n">
        <f aca="false">(M24+M26)/M27</f>
        <v>0.530248700778542</v>
      </c>
    </row>
    <row r="33" customFormat="false" ht="17.15" hidden="false" customHeight="false" outlineLevel="0" collapsed="false">
      <c r="A33" s="2" t="s">
        <v>674</v>
      </c>
      <c r="B33" s="0" t="s">
        <v>387</v>
      </c>
      <c r="D33" s="14" t="n">
        <f aca="false">IF(CF!D85&lt;=0,"淨利息收入",(D27-CF!D62)/CF!D85)</f>
        <v>6.95735723261217</v>
      </c>
      <c r="E33" s="14" t="n">
        <f aca="false">IF(CF!E85&lt;=0,"淨利息收入",(E27-CF!E62)/CF!E85)</f>
        <v>10.1673910796279</v>
      </c>
      <c r="F33" s="14" t="n">
        <f aca="false">IF(CF!F85&lt;=0,"淨利息收入",(F27-CF!F62)/CF!F85)</f>
        <v>13.3582871406941</v>
      </c>
      <c r="G33" s="14" t="n">
        <f aca="false">IF(CF!G85&lt;=0,"淨利息收入",(G27-CF!G62)/CF!G85)</f>
        <v>16.1829777195283</v>
      </c>
      <c r="H33" s="14" t="n">
        <f aca="false">IF(CF!H85&lt;=0,"淨利息收入",(H27-CF!H62)/CF!H85)</f>
        <v>17.1357751035069</v>
      </c>
      <c r="I33" s="14" t="n">
        <f aca="false">IF(CF!I85&lt;=0,"淨利息收入",(I27-CF!I62)/CF!I85)</f>
        <v>18.1970539691735</v>
      </c>
      <c r="J33" s="14" t="n">
        <f aca="false">IF(CF!J85&lt;=0,"淨利息收入",(J27-CF!J62)/CF!J85)</f>
        <v>19.0122517488419</v>
      </c>
      <c r="K33" s="14" t="n">
        <f aca="false">IF(CF!K85&lt;=0,"淨利息收入",(K27-CF!K62)/CF!K85)</f>
        <v>19.6756851431172</v>
      </c>
      <c r="L33" s="14" t="n">
        <f aca="false">IF(CF!L85&lt;=0,"淨利息收入",(L27-CF!L62)/CF!L85)</f>
        <v>25.4709150962212</v>
      </c>
      <c r="M33" s="14" t="n">
        <f aca="false">IF(CF!M85&lt;=0,"淨利息收入",(M27-CF!M62)/CF!M85)</f>
        <v>25.4865615815109</v>
      </c>
    </row>
    <row r="34" customFormat="false" ht="15" hidden="false" customHeight="false" outlineLevel="0" collapsed="false">
      <c r="A34" s="2" t="s">
        <v>675</v>
      </c>
      <c r="B34" s="0" t="s">
        <v>47</v>
      </c>
      <c r="D34" s="10" t="n">
        <f aca="false">CF!D63/D24</f>
        <v>0.307498277356063</v>
      </c>
      <c r="E34" s="10" t="n">
        <f aca="false">CF!E63/E24</f>
        <v>0.459992740700646</v>
      </c>
      <c r="F34" s="10" t="n">
        <f aca="false">CF!F63/F24</f>
        <v>0.57151671918844</v>
      </c>
      <c r="G34" s="10" t="n">
        <f aca="false">CF!G63/G24</f>
        <v>0.584034940209675</v>
      </c>
      <c r="H34" s="10" t="n">
        <f aca="false">CF!H63/H24</f>
        <v>0.668354480616659</v>
      </c>
      <c r="I34" s="10" t="n">
        <f aca="false">CF!I63/I24</f>
        <v>0.768100742052929</v>
      </c>
      <c r="J34" s="10" t="n">
        <f aca="false">CF!J63/J24</f>
        <v>0.866243585089045</v>
      </c>
      <c r="K34" s="10" t="n">
        <f aca="false">CF!K63/K24</f>
        <v>1.29130439876149</v>
      </c>
      <c r="L34" s="10" t="n">
        <f aca="false">CF!L63/L24</f>
        <v>1.41533726438375</v>
      </c>
      <c r="M34" s="10" t="n">
        <f aca="false">CF!M63/M24</f>
        <v>1.50596203262116</v>
      </c>
    </row>
    <row r="35" customFormat="false" ht="17.15" hidden="false" customHeight="false" outlineLevel="0" collapsed="false">
      <c r="A35" s="0" t="s">
        <v>676</v>
      </c>
      <c r="B35" s="0" t="s">
        <v>50</v>
      </c>
      <c r="D35" s="0" t="str">
        <f aca="false">IF(AND(D29&lt;moody_lev,OR(CF!D85&lt;=0,(D27-CF!D62)/CF!D85&gt;moody_cov)),"符合","未符合")</f>
        <v>符合</v>
      </c>
      <c r="E35" s="0" t="str">
        <f aca="false">IF(AND(E29&lt;moody_lev,OR(CF!E85&lt;=0,(E27-CF!E62)/CF!E85&gt;moody_cov)),"符合","未符合")</f>
        <v>符合</v>
      </c>
      <c r="F35" s="0" t="str">
        <f aca="false">IF(AND(F29&lt;moody_lev,OR(CF!F85&lt;=0,(F27-CF!F62)/CF!F85&gt;moody_cov)),"符合","未符合")</f>
        <v>符合</v>
      </c>
      <c r="G35" s="0" t="str">
        <f aca="false">IF(AND(G29&lt;moody_lev,OR(CF!G85&lt;=0,(G27-CF!G62)/CF!G85&gt;moody_cov)),"符合","未符合")</f>
        <v>符合</v>
      </c>
      <c r="H35" s="0" t="str">
        <f aca="false">IF(AND(H29&lt;moody_lev,OR(CF!H85&lt;=0,(H27-CF!H62)/CF!H85&gt;moody_cov)),"符合","未符合")</f>
        <v>符合</v>
      </c>
      <c r="I35" s="0" t="str">
        <f aca="false">IF(AND(I29&lt;moody_lev,OR(CF!I85&lt;=0,(I27-CF!I62)/CF!I85&gt;moody_cov)),"符合","未符合")</f>
        <v>符合</v>
      </c>
      <c r="J35" s="0" t="str">
        <f aca="false">IF(AND(J29&lt;moody_lev,OR(CF!J85&lt;=0,(J27-CF!J62)/CF!J85&gt;moody_cov)),"符合","未符合")</f>
        <v>符合</v>
      </c>
      <c r="K35" s="0" t="str">
        <f aca="false">IF(AND(K29&lt;moody_lev,OR(CF!K85&lt;=0,(K27-CF!K62)/CF!K85&gt;moody_cov)),"符合","未符合")</f>
        <v>符合</v>
      </c>
      <c r="L35" s="0" t="str">
        <f aca="false">IF(AND(L29&lt;moody_lev,OR(CF!L85&lt;=0,(L27-CF!L62)/CF!L85&gt;moody_cov)),"符合","未符合")</f>
        <v>符合</v>
      </c>
      <c r="M35" s="0" t="str">
        <f aca="false">IF(AND(M29&lt;moody_lev,OR(CF!M85&lt;=0,(M27-CF!M62)/CF!M85&gt;moody_cov)),"符合","未符合")</f>
        <v>符合</v>
      </c>
    </row>
    <row r="36" customFormat="false" ht="17.15" hidden="false" customHeight="false" outlineLevel="0" collapsed="false">
      <c r="A36" s="0" t="s">
        <v>677</v>
      </c>
      <c r="B36" s="0" t="s">
        <v>50</v>
      </c>
      <c r="D36" s="0" t="str">
        <f aca="false">IF(AND(D29&lt;sp_lev,D34&gt;sp_focf),"符合","未符合")</f>
        <v>符合</v>
      </c>
      <c r="E36" s="0" t="str">
        <f aca="false">IF(AND(E29&lt;sp_lev,E34&gt;sp_focf),"符合","未符合")</f>
        <v>符合</v>
      </c>
      <c r="F36" s="0" t="str">
        <f aca="false">IF(AND(F29&lt;sp_lev,F34&gt;sp_focf),"符合","未符合")</f>
        <v>符合</v>
      </c>
      <c r="G36" s="0" t="str">
        <f aca="false">IF(AND(G29&lt;sp_lev,G34&gt;sp_focf),"符合","未符合")</f>
        <v>符合</v>
      </c>
      <c r="H36" s="0" t="str">
        <f aca="false">IF(AND(H29&lt;sp_lev,H34&gt;sp_focf),"符合","未符合")</f>
        <v>符合</v>
      </c>
      <c r="I36" s="0" t="str">
        <f aca="false">IF(AND(I29&lt;sp_lev,I34&gt;sp_focf),"符合","未符合")</f>
        <v>符合</v>
      </c>
      <c r="J36" s="0" t="str">
        <f aca="false">IF(AND(J29&lt;sp_lev,J34&gt;sp_focf),"符合","未符合")</f>
        <v>符合</v>
      </c>
      <c r="K36" s="0" t="str">
        <f aca="false">IF(AND(K29&lt;sp_lev,K34&gt;sp_focf),"符合","未符合")</f>
        <v>符合</v>
      </c>
      <c r="L36" s="0" t="str">
        <f aca="false">IF(AND(L29&lt;sp_lev,L34&gt;sp_focf),"符合","未符合")</f>
        <v>符合</v>
      </c>
      <c r="M36" s="0" t="str">
        <f aca="false">IF(AND(M29&lt;sp_lev,M34&gt;sp_focf),"符合","未符合")</f>
        <v>符合</v>
      </c>
    </row>
    <row r="37" customFormat="false" ht="17.15" hidden="false" customHeight="false" outlineLevel="0" collapsed="false">
      <c r="A37" s="2" t="s">
        <v>678</v>
      </c>
      <c r="B37" s="0" t="s">
        <v>47</v>
      </c>
      <c r="D37" s="15" t="n">
        <f aca="false">(ally_cap+fp_unused/fp_yrs)/Thesis!D42</f>
        <v>0.751824097811083</v>
      </c>
      <c r="E37" s="15" t="n">
        <f aca="false">(ally_cap+fp_unused/fp_yrs)/Thesis!E42</f>
        <v>0.589665959067516</v>
      </c>
    </row>
    <row r="38" customFormat="false" ht="17.15" hidden="false" customHeight="false" outlineLevel="0" collapsed="false">
      <c r="A38" s="2" t="s">
        <v>679</v>
      </c>
      <c r="B38" s="0" t="s">
        <v>47</v>
      </c>
      <c r="D38" s="15" t="n">
        <f aca="false">(ally_cap+fp_unused/fp_yrs+abs_rr)/Thesis!D42</f>
        <v>1.005171016017</v>
      </c>
      <c r="E38" s="15" t="n">
        <f aca="false">(ally_cap+fp_unused/fp_yrs+abs_rr)/Thesis!E42</f>
        <v>0.788369424327061</v>
      </c>
    </row>
    <row r="39" customFormat="false" ht="17.15" hidden="false" customHeight="false" outlineLevel="0" collapsed="false">
      <c r="A39" s="2" t="s">
        <v>680</v>
      </c>
      <c r="B39" s="0" t="s">
        <v>387</v>
      </c>
      <c r="D39" s="16" t="n">
        <f aca="false">px*sh_fx/D24</f>
        <v>13.6698003801751</v>
      </c>
    </row>
    <row r="41" customFormat="false" ht="17.15" hidden="false" customHeight="false" outlineLevel="0" collapsed="false">
      <c r="A41" s="5" t="s">
        <v>682</v>
      </c>
    </row>
    <row r="42" customFormat="false" ht="15" hidden="false" customHeight="false" outlineLevel="0" collapsed="false">
      <c r="A42" s="2" t="s">
        <v>663</v>
      </c>
      <c r="B42" s="0" t="s">
        <v>166</v>
      </c>
      <c r="D42" s="11" t="n">
        <f aca="false">CF!D122</f>
        <v>5275.62422232505</v>
      </c>
      <c r="E42" s="11" t="n">
        <f aca="false">CF!E122</f>
        <v>5198.76718288701</v>
      </c>
      <c r="F42" s="11" t="n">
        <f aca="false">CF!F122</f>
        <v>5187.36313151766</v>
      </c>
      <c r="G42" s="11" t="n">
        <f aca="false">CF!G122</f>
        <v>5185.95508585525</v>
      </c>
      <c r="H42" s="11" t="n">
        <f aca="false">CF!H122</f>
        <v>5207.36514253099</v>
      </c>
      <c r="I42" s="11" t="n">
        <f aca="false">CF!I122</f>
        <v>5256.80508327246</v>
      </c>
      <c r="J42" s="11" t="n">
        <f aca="false">CF!J122</f>
        <v>5305.36005231146</v>
      </c>
      <c r="K42" s="11" t="n">
        <f aca="false">CF!K122</f>
        <v>3807.53642495922</v>
      </c>
      <c r="L42" s="11" t="n">
        <f aca="false">CF!L122</f>
        <v>3865.74890999299</v>
      </c>
      <c r="M42" s="11" t="n">
        <f aca="false">CF!M122</f>
        <v>3917.7979316575</v>
      </c>
    </row>
    <row r="43" customFormat="false" ht="15" hidden="false" customHeight="false" outlineLevel="0" collapsed="false">
      <c r="A43" s="2" t="s">
        <v>667</v>
      </c>
      <c r="B43" s="0" t="s">
        <v>166</v>
      </c>
      <c r="D43" s="11" t="n">
        <f aca="false">CF!D110</f>
        <v>3854.24536034287</v>
      </c>
      <c r="E43" s="11" t="n">
        <f aca="false">CF!E110</f>
        <v>4225.36818235584</v>
      </c>
      <c r="F43" s="11" t="n">
        <f aca="false">CF!F110</f>
        <v>5000</v>
      </c>
      <c r="G43" s="11" t="n">
        <f aca="false">CF!G110</f>
        <v>5000</v>
      </c>
      <c r="H43" s="11" t="n">
        <f aca="false">CF!H110</f>
        <v>5000</v>
      </c>
      <c r="I43" s="11" t="n">
        <f aca="false">CF!I110</f>
        <v>5000</v>
      </c>
      <c r="J43" s="11" t="n">
        <f aca="false">CF!J110</f>
        <v>5000</v>
      </c>
      <c r="K43" s="11" t="n">
        <f aca="false">CF!K110</f>
        <v>5000</v>
      </c>
      <c r="L43" s="11" t="n">
        <f aca="false">CF!L110</f>
        <v>5000</v>
      </c>
      <c r="M43" s="11" t="n">
        <f aca="false">CF!M110</f>
        <v>5000</v>
      </c>
    </row>
    <row r="44" customFormat="false" ht="17.15" hidden="false" customHeight="false" outlineLevel="0" collapsed="false">
      <c r="A44" s="0" t="s">
        <v>668</v>
      </c>
      <c r="B44" s="0" t="s">
        <v>166</v>
      </c>
      <c r="D44" s="11" t="n">
        <f aca="false">tra_0-tra_q4</f>
        <v>2130</v>
      </c>
      <c r="E44" s="11" t="n">
        <f aca="false">tra_0-tra_q4-SUM(CF!E102:E102)</f>
        <v>1988</v>
      </c>
      <c r="F44" s="11" t="n">
        <f aca="false">tra_0-tra_q4-SUM(CF!E102:F102)</f>
        <v>1846</v>
      </c>
      <c r="G44" s="11" t="n">
        <f aca="false">tra_0-tra_q4-SUM(CF!E102:G102)</f>
        <v>1704</v>
      </c>
      <c r="H44" s="11" t="n">
        <f aca="false">tra_0-tra_q4-SUM(CF!E102:H102)</f>
        <v>1562</v>
      </c>
      <c r="I44" s="11" t="n">
        <f aca="false">tra_0-tra_q4-SUM(CF!E102:I102)</f>
        <v>1420</v>
      </c>
      <c r="J44" s="11" t="n">
        <f aca="false">tra_0-tra_q4-SUM(CF!E102:J102)</f>
        <v>1278</v>
      </c>
      <c r="K44" s="11" t="n">
        <f aca="false">tra_0-tra_q4-SUM(CF!E102:K102)</f>
        <v>1136</v>
      </c>
      <c r="L44" s="11" t="n">
        <f aca="false">tra_0-tra_q4-SUM(CF!E102:L102)</f>
        <v>994</v>
      </c>
      <c r="M44" s="11" t="n">
        <f aca="false">tra_0-tra_q4-SUM(CF!E102:M102)</f>
        <v>852</v>
      </c>
    </row>
    <row r="45" customFormat="false" ht="17.15" hidden="false" customHeight="false" outlineLevel="0" collapsed="false">
      <c r="A45" s="2" t="s">
        <v>509</v>
      </c>
      <c r="B45" s="0" t="s">
        <v>166</v>
      </c>
      <c r="D45" s="11" t="n">
        <f aca="false">PL!D91</f>
        <v>2952.2070528</v>
      </c>
      <c r="E45" s="11" t="n">
        <f aca="false">PL!E91</f>
        <v>1375.58271118</v>
      </c>
      <c r="F45" s="11" t="n">
        <f aca="false">PL!F91</f>
        <v>1749.36055484392</v>
      </c>
      <c r="G45" s="11" t="n">
        <f aca="false">PL!G91</f>
        <v>2224.25180074372</v>
      </c>
      <c r="H45" s="11" t="n">
        <f aca="false">PL!H91</f>
        <v>2840.95078726971</v>
      </c>
      <c r="I45" s="11" t="n">
        <f aca="false">PL!I91</f>
        <v>3143.85604849839</v>
      </c>
      <c r="J45" s="11" t="n">
        <f aca="false">PL!J91</f>
        <v>3434.72024940198</v>
      </c>
      <c r="K45" s="11" t="n">
        <f aca="false">PL!K91</f>
        <v>3705.14106895296</v>
      </c>
      <c r="L45" s="11" t="n">
        <f aca="false">PL!L91</f>
        <v>3946.61938475031</v>
      </c>
      <c r="M45" s="11" t="n">
        <f aca="false">PL!M91</f>
        <v>4150.95769265806</v>
      </c>
    </row>
    <row r="46" customFormat="false" ht="17.15" hidden="false" customHeight="false" outlineLevel="0" collapsed="false">
      <c r="A46" s="2" t="s">
        <v>669</v>
      </c>
      <c r="B46" s="0" t="s">
        <v>166</v>
      </c>
      <c r="D46" s="11" t="n">
        <f aca="false">D45-Thesis!D71</f>
        <v>1479.5870528</v>
      </c>
      <c r="E46" s="11" t="n">
        <f aca="false">E45-Thesis!E71</f>
        <v>767.8026715</v>
      </c>
      <c r="F46" s="11" t="n">
        <f aca="false">F45-Thesis!F71</f>
        <v>932.504181514001</v>
      </c>
      <c r="G46" s="11" t="n">
        <f aca="false">G45-Thesis!G71</f>
        <v>1146.63317529947</v>
      </c>
      <c r="H46" s="11" t="n">
        <f aca="false">H45-Thesis!H71</f>
        <v>1427.73093275854</v>
      </c>
      <c r="I46" s="11" t="n">
        <f aca="false">I45-Thesis!I71</f>
        <v>1575.52118275607</v>
      </c>
      <c r="J46" s="11" t="n">
        <f aca="false">J45-Thesis!J71</f>
        <v>1713.44136755247</v>
      </c>
      <c r="K46" s="11" t="n">
        <f aca="false">K45-Thesis!K71</f>
        <v>1837.07152405933</v>
      </c>
      <c r="L46" s="11" t="n">
        <f aca="false">L45-Thesis!L71</f>
        <v>1942.10604029765</v>
      </c>
      <c r="M46" s="11" t="n">
        <f aca="false">M45-Thesis!M71</f>
        <v>2024.56993686267</v>
      </c>
    </row>
    <row r="47" customFormat="false" ht="17.15" hidden="false" customHeight="false" outlineLevel="0" collapsed="false">
      <c r="A47" s="2" t="s">
        <v>670</v>
      </c>
      <c r="B47" s="0" t="s">
        <v>387</v>
      </c>
      <c r="D47" s="14" t="n">
        <f aca="false">D42/D45</f>
        <v>1.78701023606099</v>
      </c>
      <c r="E47" s="14" t="n">
        <f aca="false">E42/E45</f>
        <v>3.77931994974509</v>
      </c>
      <c r="F47" s="14" t="n">
        <f aca="false">F42/F45</f>
        <v>2.96529101285268</v>
      </c>
      <c r="G47" s="14" t="n">
        <f aca="false">G42/G45</f>
        <v>2.33155035959563</v>
      </c>
      <c r="H47" s="14" t="n">
        <f aca="false">H42/H45</f>
        <v>1.83296562751638</v>
      </c>
      <c r="I47" s="14" t="n">
        <f aca="false">I42/I45</f>
        <v>1.67208835334025</v>
      </c>
      <c r="J47" s="14" t="n">
        <f aca="false">J42/J45</f>
        <v>1.54462653930409</v>
      </c>
      <c r="K47" s="14" t="n">
        <f aca="false">K42/K45</f>
        <v>1.02763602089655</v>
      </c>
      <c r="L47" s="14" t="n">
        <f aca="false">L42/L45</f>
        <v>0.979508924759807</v>
      </c>
      <c r="M47" s="14" t="n">
        <f aca="false">M42/M45</f>
        <v>0.943829887398526</v>
      </c>
    </row>
    <row r="48" customFormat="false" ht="17.15" hidden="false" customHeight="false" outlineLevel="0" collapsed="false">
      <c r="A48" s="2" t="s">
        <v>671</v>
      </c>
      <c r="B48" s="0" t="s">
        <v>387</v>
      </c>
      <c r="D48" s="14" t="n">
        <f aca="false">(D42-D43)/D45</f>
        <v>0.481463134719526</v>
      </c>
      <c r="E48" s="14" t="n">
        <f aca="false">(E42-E43)/E45</f>
        <v>0.707626660774307</v>
      </c>
      <c r="F48" s="14" t="n">
        <f aca="false">(F42-F43)/F45</f>
        <v>0.107103782007008</v>
      </c>
      <c r="G48" s="14" t="n">
        <f aca="false">(G42-G43)/G45</f>
        <v>0.0836034327557113</v>
      </c>
      <c r="H48" s="14" t="n">
        <f aca="false">(H42-H43)/H45</f>
        <v>0.0729914588665839</v>
      </c>
      <c r="I48" s="14" t="n">
        <f aca="false">(I42-I43)/I45</f>
        <v>0.081684746155958</v>
      </c>
      <c r="J48" s="14" t="n">
        <f aca="false">(J42-J43)/J45</f>
        <v>0.088903907782484</v>
      </c>
      <c r="K48" s="14" t="n">
        <f aca="false">(K42-K43)/K45</f>
        <v>-0.32184026271846</v>
      </c>
      <c r="L48" s="14" t="n">
        <f aca="false">(L42-L43)/L45</f>
        <v>-0.287398144951536</v>
      </c>
      <c r="M48" s="14" t="n">
        <f aca="false">(M42-M43)/M45</f>
        <v>-0.260711418537614</v>
      </c>
    </row>
    <row r="49" customFormat="false" ht="17.15" hidden="false" customHeight="false" outlineLevel="0" collapsed="false">
      <c r="A49" s="2" t="s">
        <v>672</v>
      </c>
      <c r="B49" s="0" t="s">
        <v>387</v>
      </c>
      <c r="D49" s="14" t="n">
        <f aca="false">IF(D46&gt;0,D42/D46,"EBITDA≤0")</f>
        <v>3.56560583058723</v>
      </c>
      <c r="E49" s="14" t="n">
        <f aca="false">IF(E46&gt;0,E42/E46,"EBITDA≤0")</f>
        <v>6.77096782267057</v>
      </c>
      <c r="F49" s="14" t="n">
        <f aca="false">IF(F46&gt;0,F42/F46,"EBITDA≤0")</f>
        <v>5.56283096028109</v>
      </c>
      <c r="G49" s="14" t="n">
        <f aca="false">IF(G46&gt;0,G42/G46,"EBITDA≤0")</f>
        <v>4.5227673484162</v>
      </c>
      <c r="H49" s="14" t="n">
        <f aca="false">IF(H46&gt;0,H42/H46,"EBITDA≤0")</f>
        <v>3.64730147890664</v>
      </c>
      <c r="I49" s="14" t="n">
        <f aca="false">IF(I46&gt;0,I42/I46,"EBITDA≤0")</f>
        <v>3.33654992443624</v>
      </c>
      <c r="J49" s="14" t="n">
        <f aca="false">IF(J46&gt;0,J42/J46,"EBITDA≤0")</f>
        <v>3.09631841087728</v>
      </c>
      <c r="K49" s="14" t="n">
        <f aca="false">IF(K46&gt;0,K42/K46,"EBITDA≤0")</f>
        <v>2.07261196697765</v>
      </c>
      <c r="L49" s="14" t="n">
        <f aca="false">IF(L46&gt;0,L42/L46,"EBITDA≤0")</f>
        <v>1.99049322219323</v>
      </c>
      <c r="M49" s="14" t="n">
        <f aca="false">IF(M46&gt;0,M42/M46,"EBITDA≤0")</f>
        <v>1.93512600395945</v>
      </c>
    </row>
    <row r="50" customFormat="false" ht="17.15" hidden="false" customHeight="false" outlineLevel="0" collapsed="false">
      <c r="A50" s="2" t="s">
        <v>673</v>
      </c>
      <c r="B50" s="0" t="s">
        <v>387</v>
      </c>
      <c r="D50" s="14" t="n">
        <f aca="false">(D42+D44)/D45</f>
        <v>2.50850434602859</v>
      </c>
      <c r="E50" s="14" t="n">
        <f aca="false">(E42+E44)/E45</f>
        <v>5.22452566790554</v>
      </c>
      <c r="F50" s="14" t="n">
        <f aca="false">(F42+F44)/F45</f>
        <v>4.02053373848091</v>
      </c>
      <c r="G50" s="14" t="n">
        <f aca="false">(G42+G44)/G45</f>
        <v>3.09765067226267</v>
      </c>
      <c r="H50" s="14" t="n">
        <f aca="false">(H42+H44)/H45</f>
        <v>2.38278155780258</v>
      </c>
      <c r="I50" s="14" t="n">
        <f aca="false">(I42+I44)/I45</f>
        <v>2.12376297778059</v>
      </c>
      <c r="J50" s="14" t="n">
        <f aca="false">(J42+J44)/J45</f>
        <v>1.91670924392101</v>
      </c>
      <c r="K50" s="14" t="n">
        <f aca="false">(K42+K44)/K45</f>
        <v>1.33423703253389</v>
      </c>
      <c r="L50" s="14" t="n">
        <f aca="false">(L42+L44)/L45</f>
        <v>1.23137005021842</v>
      </c>
      <c r="M50" s="14" t="n">
        <f aca="false">(M42+M44)/M45</f>
        <v>1.14908372593004</v>
      </c>
    </row>
    <row r="51" customFormat="false" ht="17.15" hidden="false" customHeight="false" outlineLevel="0" collapsed="false">
      <c r="A51" s="2" t="s">
        <v>674</v>
      </c>
      <c r="B51" s="0" t="s">
        <v>387</v>
      </c>
      <c r="D51" s="14" t="n">
        <f aca="false">IF(CF!D123&lt;=0,"淨利息收入",(D45-CF!D100)/CF!D123)</f>
        <v>6.95735723261217</v>
      </c>
      <c r="E51" s="14" t="n">
        <f aca="false">IF(CF!E123&lt;=0,"淨利息收入",(E45-CF!E100)/CF!E123)</f>
        <v>3.70066148500254</v>
      </c>
      <c r="F51" s="14" t="n">
        <f aca="false">IF(CF!F123&lt;=0,"淨利息收入",(F45-CF!F100)/CF!F123)</f>
        <v>4.98699394067924</v>
      </c>
      <c r="G51" s="14" t="n">
        <f aca="false">IF(CF!G123&lt;=0,"淨利息收入",(G45-CF!G100)/CF!G123)</f>
        <v>6.90898107000868</v>
      </c>
      <c r="H51" s="14" t="n">
        <f aca="false">IF(CF!H123&lt;=0,"淨利息收入",(H45-CF!H100)/CF!H123)</f>
        <v>8.62837077100959</v>
      </c>
      <c r="I51" s="14" t="n">
        <f aca="false">IF(CF!I123&lt;=0,"淨利息收入",(I45-CF!I100)/CF!I123)</f>
        <v>9.24378423318353</v>
      </c>
      <c r="J51" s="14" t="n">
        <f aca="false">IF(CF!J123&lt;=0,"淨利息收入",(J45-CF!J100)/CF!J123)</f>
        <v>9.72700621856026</v>
      </c>
      <c r="K51" s="14" t="n">
        <f aca="false">IF(CF!K123&lt;=0,"淨利息收入",(K45-CF!K100)/CF!K123)</f>
        <v>10.1121938532009</v>
      </c>
      <c r="L51" s="14" t="n">
        <f aca="false">IF(CF!L123&lt;=0,"淨利息收入",(L45-CF!L100)/CF!L123)</f>
        <v>14.253264591076</v>
      </c>
      <c r="M51" s="14" t="n">
        <f aca="false">IF(CF!M123&lt;=0,"淨利息收入",(M45-CF!M100)/CF!M123)</f>
        <v>14.2762937521369</v>
      </c>
    </row>
    <row r="52" customFormat="false" ht="15" hidden="false" customHeight="false" outlineLevel="0" collapsed="false">
      <c r="A52" s="2" t="s">
        <v>675</v>
      </c>
      <c r="B52" s="0" t="s">
        <v>47</v>
      </c>
      <c r="D52" s="10" t="n">
        <f aca="false">CF!D101/D42</f>
        <v>0.307498277356063</v>
      </c>
      <c r="E52" s="10" t="n">
        <f aca="false">CF!E101/E42</f>
        <v>0.109588062317609</v>
      </c>
      <c r="F52" s="10" t="n">
        <f aca="false">CF!F101/F42</f>
        <v>0.256516332287049</v>
      </c>
      <c r="G52" s="10" t="n">
        <f aca="false">CF!G101/G42</f>
        <v>0.298567146235574</v>
      </c>
      <c r="H52" s="10" t="n">
        <f aca="false">CF!H101/H42</f>
        <v>0.310366377375624</v>
      </c>
      <c r="I52" s="10" t="n">
        <f aca="false">CF!I101/I42</f>
        <v>0.34664891159885</v>
      </c>
      <c r="J52" s="10" t="n">
        <f aca="false">CF!J101/J42</f>
        <v>0.384067705124943</v>
      </c>
      <c r="K52" s="10" t="n">
        <f aca="false">CF!K101/K42</f>
        <v>0.590102124695144</v>
      </c>
      <c r="L52" s="10" t="n">
        <f aca="false">CF!L101/L42</f>
        <v>0.652699248823758</v>
      </c>
      <c r="M52" s="10" t="n">
        <f aca="false">CF!M101/M42</f>
        <v>0.684714690392583</v>
      </c>
    </row>
    <row r="53" customFormat="false" ht="17.15" hidden="false" customHeight="false" outlineLevel="0" collapsed="false">
      <c r="A53" s="0" t="s">
        <v>676</v>
      </c>
      <c r="B53" s="0" t="s">
        <v>50</v>
      </c>
      <c r="D53" s="0" t="str">
        <f aca="false">IF(AND(D47&lt;moody_lev,OR(CF!D123&lt;=0,(D45-CF!D100)/CF!D123&gt;moody_cov)),"符合","未符合")</f>
        <v>符合</v>
      </c>
      <c r="E53" s="0" t="str">
        <f aca="false">IF(AND(E47&lt;moody_lev,OR(CF!E123&lt;=0,(E45-CF!E100)/CF!E123&gt;moody_cov)),"符合","未符合")</f>
        <v>符合</v>
      </c>
      <c r="F53" s="0" t="str">
        <f aca="false">IF(AND(F47&lt;moody_lev,OR(CF!F123&lt;=0,(F45-CF!F100)/CF!F123&gt;moody_cov)),"符合","未符合")</f>
        <v>符合</v>
      </c>
      <c r="G53" s="0" t="str">
        <f aca="false">IF(AND(G47&lt;moody_lev,OR(CF!G123&lt;=0,(G45-CF!G100)/CF!G123&gt;moody_cov)),"符合","未符合")</f>
        <v>符合</v>
      </c>
      <c r="H53" s="0" t="str">
        <f aca="false">IF(AND(H47&lt;moody_lev,OR(CF!H123&lt;=0,(H45-CF!H100)/CF!H123&gt;moody_cov)),"符合","未符合")</f>
        <v>符合</v>
      </c>
      <c r="I53" s="0" t="str">
        <f aca="false">IF(AND(I47&lt;moody_lev,OR(CF!I123&lt;=0,(I45-CF!I100)/CF!I123&gt;moody_cov)),"符合","未符合")</f>
        <v>符合</v>
      </c>
      <c r="J53" s="0" t="str">
        <f aca="false">IF(AND(J47&lt;moody_lev,OR(CF!J123&lt;=0,(J45-CF!J100)/CF!J123&gt;moody_cov)),"符合","未符合")</f>
        <v>符合</v>
      </c>
      <c r="K53" s="0" t="str">
        <f aca="false">IF(AND(K47&lt;moody_lev,OR(CF!K123&lt;=0,(K45-CF!K100)/CF!K123&gt;moody_cov)),"符合","未符合")</f>
        <v>符合</v>
      </c>
      <c r="L53" s="0" t="str">
        <f aca="false">IF(AND(L47&lt;moody_lev,OR(CF!L123&lt;=0,(L45-CF!L100)/CF!L123&gt;moody_cov)),"符合","未符合")</f>
        <v>符合</v>
      </c>
      <c r="M53" s="0" t="str">
        <f aca="false">IF(AND(M47&lt;moody_lev,OR(CF!M123&lt;=0,(M45-CF!M100)/CF!M123&gt;moody_cov)),"符合","未符合")</f>
        <v>符合</v>
      </c>
    </row>
    <row r="54" customFormat="false" ht="17.15" hidden="false" customHeight="false" outlineLevel="0" collapsed="false">
      <c r="A54" s="0" t="s">
        <v>677</v>
      </c>
      <c r="B54" s="0" t="s">
        <v>50</v>
      </c>
      <c r="D54" s="0" t="str">
        <f aca="false">IF(AND(D47&lt;sp_lev,D52&gt;sp_focf),"符合","未符合")</f>
        <v>符合</v>
      </c>
      <c r="E54" s="0" t="str">
        <f aca="false">IF(AND(E47&lt;sp_lev,E52&gt;sp_focf),"符合","未符合")</f>
        <v>符合</v>
      </c>
      <c r="F54" s="0" t="str">
        <f aca="false">IF(AND(F47&lt;sp_lev,F52&gt;sp_focf),"符合","未符合")</f>
        <v>符合</v>
      </c>
      <c r="G54" s="0" t="str">
        <f aca="false">IF(AND(G47&lt;sp_lev,G52&gt;sp_focf),"符合","未符合")</f>
        <v>符合</v>
      </c>
      <c r="H54" s="0" t="str">
        <f aca="false">IF(AND(H47&lt;sp_lev,H52&gt;sp_focf),"符合","未符合")</f>
        <v>符合</v>
      </c>
      <c r="I54" s="0" t="str">
        <f aca="false">IF(AND(I47&lt;sp_lev,I52&gt;sp_focf),"符合","未符合")</f>
        <v>符合</v>
      </c>
      <c r="J54" s="0" t="str">
        <f aca="false">IF(AND(J47&lt;sp_lev,J52&gt;sp_focf),"符合","未符合")</f>
        <v>符合</v>
      </c>
      <c r="K54" s="0" t="str">
        <f aca="false">IF(AND(K47&lt;sp_lev,K52&gt;sp_focf),"符合","未符合")</f>
        <v>符合</v>
      </c>
      <c r="L54" s="0" t="str">
        <f aca="false">IF(AND(L47&lt;sp_lev,L52&gt;sp_focf),"符合","未符合")</f>
        <v>符合</v>
      </c>
      <c r="M54" s="0" t="str">
        <f aca="false">IF(AND(M47&lt;sp_lev,M52&gt;sp_focf),"符合","未符合")</f>
        <v>符合</v>
      </c>
    </row>
    <row r="55" customFormat="false" ht="17.15" hidden="false" customHeight="false" outlineLevel="0" collapsed="false">
      <c r="A55" s="2" t="s">
        <v>678</v>
      </c>
      <c r="B55" s="0" t="s">
        <v>47</v>
      </c>
      <c r="D55" s="15" t="n">
        <f aca="false">(ally_cap+fp_unused/fp_yrs)/Thesis!D69</f>
        <v>0.751824097811083</v>
      </c>
      <c r="E55" s="15" t="n">
        <f aca="false">(ally_cap+fp_unused/fp_yrs)/Thesis!E69</f>
        <v>0.818980498704883</v>
      </c>
    </row>
    <row r="56" customFormat="false" ht="17.15" hidden="false" customHeight="false" outlineLevel="0" collapsed="false">
      <c r="A56" s="2" t="s">
        <v>679</v>
      </c>
      <c r="B56" s="0" t="s">
        <v>47</v>
      </c>
      <c r="D56" s="15" t="n">
        <f aca="false">(ally_cap+fp_unused/fp_yrs+abs_rr)/Thesis!D69</f>
        <v>1.005171016017</v>
      </c>
      <c r="E56" s="15" t="n">
        <f aca="false">(ally_cap+fp_unused/fp_yrs+abs_rr)/Thesis!E69</f>
        <v>1.09495753378759</v>
      </c>
    </row>
    <row r="57" customFormat="false" ht="17.15" hidden="false" customHeight="false" outlineLevel="0" collapsed="false">
      <c r="A57" s="2" t="s">
        <v>680</v>
      </c>
      <c r="B57" s="0" t="s">
        <v>387</v>
      </c>
      <c r="D57" s="16" t="n">
        <f aca="false">px*sh_fx/D42</f>
        <v>13.6698003801751</v>
      </c>
    </row>
    <row r="59" customFormat="false" ht="17.15" hidden="false" customHeight="false" outlineLevel="0" collapsed="false">
      <c r="A59" s="5" t="s">
        <v>683</v>
      </c>
    </row>
    <row r="60" customFormat="false" ht="15" hidden="false" customHeight="false" outlineLevel="0" collapsed="false">
      <c r="A60" s="4" t="s">
        <v>14</v>
      </c>
      <c r="B60" s="4" t="s">
        <v>15</v>
      </c>
      <c r="C60" s="8" t="s">
        <v>684</v>
      </c>
      <c r="D60" s="8" t="s">
        <v>685</v>
      </c>
      <c r="E60" s="8" t="s">
        <v>686</v>
      </c>
      <c r="F60" s="8" t="s">
        <v>492</v>
      </c>
      <c r="G60" s="8" t="s">
        <v>493</v>
      </c>
      <c r="H60" s="8" t="s">
        <v>687</v>
      </c>
      <c r="I60" s="8" t="s">
        <v>688</v>
      </c>
    </row>
    <row r="61" customFormat="false" ht="15" hidden="false" customHeight="false" outlineLevel="0" collapsed="false">
      <c r="A61" s="2" t="s">
        <v>689</v>
      </c>
      <c r="B61" s="0" t="s">
        <v>166</v>
      </c>
      <c r="C61" s="17" t="n">
        <v>9613</v>
      </c>
      <c r="D61" s="17" t="n">
        <v>12262.1</v>
      </c>
      <c r="E61" s="17" t="n">
        <v>13528.3</v>
      </c>
      <c r="F61" s="17" t="n">
        <v>16210.5</v>
      </c>
      <c r="G61" s="17" t="n">
        <v>21570.4</v>
      </c>
      <c r="H61" s="17" t="n">
        <v>18463.2</v>
      </c>
      <c r="I61" s="17" t="n">
        <v>25959.6</v>
      </c>
    </row>
    <row r="62" customFormat="false" ht="15" hidden="false" customHeight="false" outlineLevel="0" collapsed="false">
      <c r="A62" s="2" t="s">
        <v>690</v>
      </c>
      <c r="B62" s="0" t="s">
        <v>166</v>
      </c>
      <c r="C62" s="17" t="n">
        <v>7616.6</v>
      </c>
      <c r="D62" s="17" t="n">
        <v>11255.2</v>
      </c>
      <c r="E62" s="17" t="n">
        <v>12911.7</v>
      </c>
      <c r="F62" s="17" t="n">
        <v>14890.3</v>
      </c>
      <c r="G62" s="17" t="n">
        <v>18803</v>
      </c>
      <c r="H62" s="17" t="n">
        <v>17389.1</v>
      </c>
      <c r="I62" s="17" t="n">
        <v>23982.8</v>
      </c>
    </row>
    <row r="63" customFormat="false" ht="15" hidden="false" customHeight="false" outlineLevel="0" collapsed="false">
      <c r="A63" s="2" t="s">
        <v>691</v>
      </c>
      <c r="B63" s="0" t="s">
        <v>166</v>
      </c>
      <c r="C63" s="18" t="n">
        <v>110.9</v>
      </c>
      <c r="D63" s="18" t="n">
        <v>278.5</v>
      </c>
      <c r="E63" s="18" t="n">
        <v>479.8</v>
      </c>
      <c r="F63" s="18" t="n">
        <v>668.4</v>
      </c>
      <c r="G63" s="18" t="n">
        <v>778</v>
      </c>
      <c r="H63" s="18" t="n">
        <v>364.6</v>
      </c>
      <c r="I63" s="18" t="n">
        <v>378.5</v>
      </c>
    </row>
    <row r="64" customFormat="false" ht="17.15" hidden="false" customHeight="false" outlineLevel="0" collapsed="false">
      <c r="A64" s="2" t="s">
        <v>692</v>
      </c>
      <c r="B64" s="0" t="s">
        <v>166</v>
      </c>
      <c r="C64" s="17" t="n">
        <v>4200.1</v>
      </c>
      <c r="D64" s="17" t="n">
        <v>6851.7</v>
      </c>
      <c r="E64" s="17" t="n">
        <v>7725.2</v>
      </c>
      <c r="F64" s="17" t="n">
        <v>8498.6</v>
      </c>
      <c r="G64" s="17" t="n">
        <v>10449.6</v>
      </c>
      <c r="H64" s="17" t="n">
        <v>9620.3</v>
      </c>
      <c r="I64" s="17" t="n">
        <v>13661.6</v>
      </c>
    </row>
    <row r="65" customFormat="false" ht="17.15" hidden="false" customHeight="false" outlineLevel="0" collapsed="false">
      <c r="A65" s="2" t="s">
        <v>693</v>
      </c>
      <c r="B65" s="0" t="s">
        <v>166</v>
      </c>
      <c r="C65" s="18" t="n">
        <v>12.4</v>
      </c>
      <c r="D65" s="18" t="n">
        <v>38.5</v>
      </c>
      <c r="E65" s="18" t="n">
        <v>83.5</v>
      </c>
      <c r="F65" s="18" t="n">
        <v>133.1</v>
      </c>
      <c r="G65" s="18" t="n">
        <v>151.4</v>
      </c>
      <c r="H65" s="18" t="n">
        <v>74</v>
      </c>
      <c r="I65" s="18" t="n">
        <v>69.7</v>
      </c>
    </row>
    <row r="66" customFormat="false" ht="15" hidden="false" customHeight="false" outlineLevel="0" collapsed="false">
      <c r="A66" s="2" t="s">
        <v>694</v>
      </c>
      <c r="B66" s="0" t="s">
        <v>47</v>
      </c>
      <c r="C66" s="12" t="n">
        <f aca="false">C63*1/C62</f>
        <v>0.0145603024971772</v>
      </c>
      <c r="D66" s="12" t="n">
        <f aca="false">D63*1/D62</f>
        <v>0.0247441182742199</v>
      </c>
      <c r="E66" s="12" t="n">
        <f aca="false">E63*1/E62</f>
        <v>0.0371600951075381</v>
      </c>
      <c r="F66" s="12" t="n">
        <f aca="false">F63*1/F62</f>
        <v>0.0448882829761657</v>
      </c>
      <c r="G66" s="12" t="n">
        <f aca="false">G63*1/G62</f>
        <v>0.0413763761101952</v>
      </c>
      <c r="H66" s="12" t="n">
        <f aca="false">H63*2/H62</f>
        <v>0.0419343151744484</v>
      </c>
      <c r="I66" s="12" t="n">
        <f aca="false">I63*2/I62</f>
        <v>0.0315642877395467</v>
      </c>
    </row>
    <row r="67" customFormat="false" ht="17.15" hidden="false" customHeight="false" outlineLevel="0" collapsed="false">
      <c r="A67" s="2" t="s">
        <v>695</v>
      </c>
      <c r="B67" s="0" t="s">
        <v>47</v>
      </c>
      <c r="C67" s="12" t="n">
        <f aca="false">C65*1/C64</f>
        <v>0.00295231065927002</v>
      </c>
      <c r="D67" s="12" t="n">
        <f aca="false">D65*1/D64</f>
        <v>0.00561904344907103</v>
      </c>
      <c r="E67" s="12" t="n">
        <f aca="false">E65*1/E64</f>
        <v>0.010808781649666</v>
      </c>
      <c r="F67" s="12" t="n">
        <f aca="false">F65*1/F64</f>
        <v>0.0156614030546208</v>
      </c>
      <c r="G67" s="12" t="n">
        <f aca="false">G65*1/G64</f>
        <v>0.0144885928647987</v>
      </c>
      <c r="H67" s="12" t="n">
        <f aca="false">H65*2/H64</f>
        <v>0.015384135629866</v>
      </c>
      <c r="I67" s="12" t="n">
        <f aca="false">I65*2/I64</f>
        <v>0.0102037828658429</v>
      </c>
    </row>
    <row r="68" customFormat="false" ht="17.15" hidden="false" customHeight="false" outlineLevel="0" collapsed="false">
      <c r="A68" s="2" t="s">
        <v>696</v>
      </c>
      <c r="B68" s="0" t="s">
        <v>47</v>
      </c>
      <c r="C68" s="12" t="n">
        <f aca="false">(C63-C65)*1/(C62-C64)</f>
        <v>0.0288306746670569</v>
      </c>
      <c r="D68" s="12" t="n">
        <f aca="false">(D63-D65)*1/(D62-D64)</f>
        <v>0.054502100601794</v>
      </c>
      <c r="E68" s="12" t="n">
        <f aca="false">(E63-E65)*1/(E62-E64)</f>
        <v>0.0764099103441627</v>
      </c>
      <c r="F68" s="12" t="n">
        <f aca="false">(F63-F65)*1/(F62-F64)</f>
        <v>0.0837492372921132</v>
      </c>
      <c r="G68" s="12" t="n">
        <f aca="false">(G63-G65)*1/(G62-G64)</f>
        <v>0.0750113726147437</v>
      </c>
      <c r="H68" s="12" t="n">
        <f aca="false">(H63-H65)*2/(H62-H64)</f>
        <v>0.0748120687879724</v>
      </c>
      <c r="I68" s="12" t="n">
        <f aca="false">(I63-I65)*2/(I62-I64)</f>
        <v>0.0598380033329458</v>
      </c>
    </row>
    <row r="69" customFormat="false" ht="17.15" hidden="false" customHeight="false" outlineLevel="0" collapsed="false">
      <c r="A69" s="2" t="s">
        <v>697</v>
      </c>
      <c r="B69" s="0" t="s">
        <v>47</v>
      </c>
      <c r="D69" s="12" t="n">
        <f aca="false">D63/C61</f>
        <v>0.0289711848538438</v>
      </c>
      <c r="E69" s="12" t="n">
        <f aca="false">E63/D61</f>
        <v>0.0391286973683137</v>
      </c>
      <c r="F69" s="12" t="n">
        <f aca="false">F63/E61</f>
        <v>0.0494075382716232</v>
      </c>
      <c r="G69" s="12" t="n">
        <f aca="false">G63/F61</f>
        <v>0.0479935844051695</v>
      </c>
      <c r="I69" s="12" t="n">
        <f aca="false">I63*2/H61</f>
        <v>0.0410004766237705</v>
      </c>
    </row>
    <row r="70" customFormat="false" ht="17.15" hidden="false" customHeight="false" outlineLevel="0" collapsed="false">
      <c r="A70" s="0" t="s">
        <v>698</v>
      </c>
      <c r="B70" s="0" t="s">
        <v>47</v>
      </c>
      <c r="C70" s="12" t="n">
        <v>0.0176</v>
      </c>
      <c r="D70" s="12" t="n">
        <v>0.0239</v>
      </c>
      <c r="E70" s="12" t="n">
        <v>0.0373</v>
      </c>
      <c r="F70" s="12" t="n">
        <v>0.0406</v>
      </c>
      <c r="G70" s="12" t="n">
        <v>0.0376</v>
      </c>
      <c r="H70" s="12" t="n">
        <v>0.0385</v>
      </c>
      <c r="I70" s="12" t="n">
        <v>0.0322</v>
      </c>
    </row>
    <row r="71" customFormat="false" ht="15" hidden="false" customHeight="false" outlineLevel="0" collapsed="false">
      <c r="A71" s="2" t="s">
        <v>699</v>
      </c>
      <c r="B71" s="0" t="s">
        <v>47</v>
      </c>
      <c r="D71" s="10" t="n">
        <f aca="false">D61/C61-1</f>
        <v>0.275574742536149</v>
      </c>
      <c r="E71" s="10" t="n">
        <f aca="false">E61/D61-1</f>
        <v>0.103261268461357</v>
      </c>
      <c r="F71" s="10" t="n">
        <f aca="false">F61/E61-1</f>
        <v>0.198265857498725</v>
      </c>
      <c r="G71" s="10" t="n">
        <f aca="false">G61/F61-1</f>
        <v>0.330643718577465</v>
      </c>
      <c r="I71" s="10" t="n">
        <f aca="false">I61/H61-1</f>
        <v>0.406018458338749</v>
      </c>
    </row>
    <row r="72" customFormat="false" ht="17.15" hidden="false" customHeight="false" outlineLevel="0" collapsed="false">
      <c r="A72" s="2" t="s">
        <v>700</v>
      </c>
    </row>
    <row r="74" customFormat="false" ht="17.15" hidden="false" customHeight="false" outlineLevel="0" collapsed="false">
      <c r="A74" s="5" t="s">
        <v>701</v>
      </c>
    </row>
    <row r="75" customFormat="false" ht="17.15" hidden="false" customHeight="false" outlineLevel="0" collapsed="false">
      <c r="A75" s="2" t="s">
        <v>702</v>
      </c>
      <c r="B75" s="0" t="s">
        <v>47</v>
      </c>
      <c r="C75" s="12" t="n">
        <f aca="false">gos27_B</f>
        <v>0.072</v>
      </c>
    </row>
    <row r="76" customFormat="false" ht="17.15" hidden="false" customHeight="false" outlineLevel="0" collapsed="false">
      <c r="A76" s="2" t="s">
        <v>703</v>
      </c>
      <c r="B76" s="0" t="s">
        <v>383</v>
      </c>
      <c r="C76" s="12" t="n">
        <f aca="false">-loss_pt*dcnl_C</f>
        <v>-0.018</v>
      </c>
    </row>
    <row r="77" customFormat="false" ht="17.15" hidden="false" customHeight="false" outlineLevel="0" collapsed="false">
      <c r="A77" s="2" t="s">
        <v>704</v>
      </c>
      <c r="B77" s="0" t="s">
        <v>383</v>
      </c>
      <c r="C77" s="12" t="n">
        <f aca="false">-dur*dspr_C</f>
        <v>-0.02</v>
      </c>
    </row>
    <row r="78" customFormat="false" ht="17.15" hidden="false" customHeight="false" outlineLevel="0" collapsed="false">
      <c r="A78" s="2" t="s">
        <v>705</v>
      </c>
      <c r="B78" s="0" t="s">
        <v>47</v>
      </c>
      <c r="C78" s="12" t="n">
        <f aca="false">C75+C76+C77</f>
        <v>0.034</v>
      </c>
    </row>
    <row r="79" customFormat="false" ht="17.15" hidden="false" customHeight="false" outlineLevel="0" collapsed="false">
      <c r="A79" s="2" t="s">
        <v>706</v>
      </c>
      <c r="B79" s="0" t="s">
        <v>166</v>
      </c>
      <c r="C79" s="11" t="n">
        <f aca="false">Thesis!E42*0.01</f>
        <v>248.27616</v>
      </c>
    </row>
    <row r="80" customFormat="false" ht="17.15" hidden="false" customHeight="false" outlineLevel="0" collapsed="false">
      <c r="A80" s="2" t="s">
        <v>707</v>
      </c>
      <c r="B80" s="0" t="s">
        <v>47</v>
      </c>
      <c r="C80" s="10" t="n">
        <f aca="false">C79/PL!E62</f>
        <v>0.0642861765814049</v>
      </c>
    </row>
    <row r="82" customFormat="false" ht="17.15" hidden="false" customHeight="false" outlineLevel="0" collapsed="false">
      <c r="A82" s="5" t="s">
        <v>708</v>
      </c>
    </row>
    <row r="83" customFormat="false" ht="17.15" hidden="false" customHeight="false" outlineLevel="0" collapsed="false">
      <c r="A83" s="2" t="s">
        <v>709</v>
      </c>
      <c r="B83" s="0" t="s">
        <v>166</v>
      </c>
      <c r="C83" s="11" t="n">
        <f aca="false">lq_orig/3</f>
        <v>1727.33333333333</v>
      </c>
    </row>
    <row r="84" customFormat="false" ht="17.15" hidden="false" customHeight="false" outlineLevel="0" collapsed="false">
      <c r="A84" s="2" t="s">
        <v>710</v>
      </c>
      <c r="B84" s="0" t="s">
        <v>166</v>
      </c>
      <c r="C84" s="11" t="n">
        <f aca="false">(lq_ebitda-lq_gos-lq_int-lq_capex)/3</f>
        <v>85.6666666666667</v>
      </c>
    </row>
    <row r="85" customFormat="false" ht="15" hidden="false" customHeight="false" outlineLevel="0" collapsed="false">
      <c r="A85" s="2" t="s">
        <v>711</v>
      </c>
      <c r="B85" s="0" t="s">
        <v>166</v>
      </c>
      <c r="C85" s="11" t="n">
        <f aca="false">lq_cash-min_cash</f>
        <v>2049</v>
      </c>
    </row>
    <row r="86" customFormat="false" ht="17.15" hidden="false" customHeight="false" outlineLevel="0" collapsed="false">
      <c r="A86" s="2" t="s">
        <v>712</v>
      </c>
      <c r="B86" s="0" t="s">
        <v>166</v>
      </c>
      <c r="C86" s="11" t="n">
        <f aca="false">wh_unused/wh_adv</f>
        <v>4823.52941176471</v>
      </c>
    </row>
    <row r="87" customFormat="false" ht="17.15" hidden="false" customHeight="false" outlineLevel="0" collapsed="false">
      <c r="A87" s="9" t="s">
        <v>713</v>
      </c>
      <c r="C87" s="9" t="s">
        <v>714</v>
      </c>
      <c r="D87" s="5" t="s">
        <v>715</v>
      </c>
    </row>
    <row r="88" customFormat="false" ht="15" hidden="false" customHeight="false" outlineLevel="0" collapsed="false">
      <c r="A88" s="2" t="s">
        <v>716</v>
      </c>
      <c r="B88" s="0" t="s">
        <v>166</v>
      </c>
      <c r="C88" s="11" t="n">
        <f aca="false">C83</f>
        <v>1727.33333333333</v>
      </c>
      <c r="D88" s="11" t="n">
        <f aca="false">MAX(0,C83-ally_cap/12)</f>
        <v>1060.66666666667</v>
      </c>
    </row>
    <row r="89" customFormat="false" ht="15" hidden="false" customHeight="false" outlineLevel="0" collapsed="false">
      <c r="A89" s="2" t="s">
        <v>717</v>
      </c>
      <c r="B89" s="2" t="s">
        <v>718</v>
      </c>
      <c r="C89" s="16" t="n">
        <f aca="false">IF(C88&gt;0,C86/C88,99)</f>
        <v>2.79247167798034</v>
      </c>
      <c r="D89" s="16" t="n">
        <f aca="false">IF(D88&gt;0,C86/D88,99)</f>
        <v>4.54763929456132</v>
      </c>
    </row>
    <row r="90" customFormat="false" ht="15" hidden="false" customHeight="false" outlineLevel="0" collapsed="false">
      <c r="A90" s="2" t="s">
        <v>719</v>
      </c>
      <c r="B90" s="0" t="s">
        <v>166</v>
      </c>
      <c r="C90" s="11" t="n">
        <f aca="false">C88*(1-wh_adv)-C84</f>
        <v>173.433333333333</v>
      </c>
      <c r="D90" s="11" t="n">
        <f aca="false">D88*(1-wh_adv)-C84</f>
        <v>73.4333333333333</v>
      </c>
    </row>
    <row r="91" customFormat="false" ht="15" hidden="false" customHeight="false" outlineLevel="0" collapsed="false">
      <c r="A91" s="2" t="s">
        <v>720</v>
      </c>
      <c r="B91" s="0" t="s">
        <v>166</v>
      </c>
      <c r="C91" s="11" t="n">
        <f aca="false">C88-C84</f>
        <v>1641.66666666667</v>
      </c>
      <c r="D91" s="11" t="n">
        <f aca="false">D88-C84</f>
        <v>975</v>
      </c>
    </row>
    <row r="92" customFormat="false" ht="15" hidden="false" customHeight="false" outlineLevel="0" collapsed="false">
      <c r="A92" s="2" t="s">
        <v>721</v>
      </c>
      <c r="B92" s="2" t="s">
        <v>718</v>
      </c>
      <c r="C92" s="16" t="n">
        <f aca="false">IF(C90&lt;=0,IF(C91&lt;=0,99,C89+C85/C91),IF(C85&lt;=C89*C90,C85/C90,C89+(C85-C89*C90)/C91))</f>
        <v>3.74558375634518</v>
      </c>
      <c r="D92" s="16" t="n">
        <f aca="false">IF(D90&lt;=0,IF(D91&lt;=0,99,D89+C85/D91),IF(C85&lt;=D89*D90,C85/D90,D89+(C85-D89*D90)/D91))</f>
        <v>6.30666666666667</v>
      </c>
    </row>
    <row r="93" customFormat="false" ht="17.15" hidden="false" customHeight="false" outlineLevel="0" collapsed="false">
      <c r="A93" s="2" t="s">
        <v>722</v>
      </c>
    </row>
    <row r="95" customFormat="false" ht="17.15" hidden="false" customHeight="false" outlineLevel="0" collapsed="false">
      <c r="A95" s="5" t="s">
        <v>723</v>
      </c>
    </row>
    <row r="96" customFormat="false" ht="15" hidden="false" customHeight="false" outlineLevel="0" collapsed="false">
      <c r="A96" s="4" t="s">
        <v>14</v>
      </c>
      <c r="B96" s="4" t="s">
        <v>15</v>
      </c>
      <c r="C96" s="8" t="s">
        <v>483</v>
      </c>
      <c r="D96" s="8" t="s">
        <v>484</v>
      </c>
      <c r="E96" s="8" t="s">
        <v>485</v>
      </c>
      <c r="F96" s="8" t="s">
        <v>486</v>
      </c>
      <c r="G96" s="8" t="s">
        <v>487</v>
      </c>
      <c r="H96" s="8" t="s">
        <v>488</v>
      </c>
      <c r="I96" s="8" t="s">
        <v>489</v>
      </c>
      <c r="J96" s="8" t="s">
        <v>490</v>
      </c>
      <c r="K96" s="8" t="s">
        <v>493</v>
      </c>
      <c r="L96" s="8" t="s">
        <v>724</v>
      </c>
    </row>
    <row r="97" customFormat="false" ht="17.15" hidden="false" customHeight="false" outlineLevel="0" collapsed="false">
      <c r="A97" s="2" t="s">
        <v>535</v>
      </c>
      <c r="B97" s="0" t="s">
        <v>47</v>
      </c>
      <c r="C97" s="10" t="n">
        <f aca="false">Q!C45</f>
        <v>0.596100278551532</v>
      </c>
      <c r="D97" s="10" t="n">
        <f aca="false">Q!D45</f>
        <v>0.559426229508197</v>
      </c>
      <c r="E97" s="10" t="n">
        <f aca="false">Q!E45</f>
        <v>0.455906821963394</v>
      </c>
      <c r="F97" s="10" t="n">
        <f aca="false">Q!F45</f>
        <v>0.519623233908948</v>
      </c>
      <c r="G97" s="10" t="n">
        <f aca="false">Q!G45</f>
        <v>0.616438356164384</v>
      </c>
      <c r="H97" s="10" t="n">
        <f aca="false">Q!H45</f>
        <v>0.526785714285714</v>
      </c>
      <c r="I97" s="10" t="n">
        <f aca="false">Q!I45</f>
        <v>0.453836150845254</v>
      </c>
      <c r="J97" s="10" t="n">
        <f aca="false">Q!J45</f>
        <v>0.47625</v>
      </c>
      <c r="K97" s="10" t="n">
        <f aca="false">Q!M45</f>
        <v>0.533303531515422</v>
      </c>
    </row>
    <row r="98" customFormat="false" ht="17.15" hidden="false" customHeight="false" outlineLevel="0" collapsed="false">
      <c r="A98" s="2" t="s">
        <v>536</v>
      </c>
      <c r="B98" s="0" t="s">
        <v>47</v>
      </c>
      <c r="C98" s="10" t="n">
        <f aca="false">Q!C46</f>
        <v>0.760445682451253</v>
      </c>
      <c r="D98" s="10" t="n">
        <f aca="false">Q!D46</f>
        <v>0.706967213114754</v>
      </c>
      <c r="E98" s="10" t="n">
        <f aca="false">Q!E46</f>
        <v>0.594009983361065</v>
      </c>
      <c r="F98" s="10" t="n">
        <f aca="false">Q!F46</f>
        <v>0.665620094191523</v>
      </c>
      <c r="G98" s="10" t="n">
        <f aca="false">Q!G46</f>
        <v>0.810176125244618</v>
      </c>
      <c r="H98" s="10" t="n">
        <f aca="false">Q!H46</f>
        <v>0.696428571428571</v>
      </c>
      <c r="I98" s="10" t="n">
        <f aca="false">Q!I46</f>
        <v>0.605981794538362</v>
      </c>
      <c r="J98" s="10" t="n">
        <f aca="false">Q!J46</f>
        <v>0.6375</v>
      </c>
      <c r="K98" s="10" t="n">
        <f aca="false">Q!M46</f>
        <v>0.688421993741618</v>
      </c>
      <c r="L98" s="10" t="n">
        <f aca="false">ttm_gosrp</f>
        <v>0.675145348837209</v>
      </c>
    </row>
    <row r="99" customFormat="false" ht="17.15" hidden="false" customHeight="false" outlineLevel="0" collapsed="false">
      <c r="A99" s="2" t="s">
        <v>537</v>
      </c>
      <c r="B99" s="0" t="s">
        <v>166</v>
      </c>
      <c r="C99" s="11" t="n">
        <f aca="false">Q!C47</f>
        <v>145</v>
      </c>
      <c r="D99" s="11" t="n">
        <f aca="false">Q!D47</f>
        <v>215</v>
      </c>
      <c r="E99" s="11" t="n">
        <f aca="false">Q!E47</f>
        <v>327</v>
      </c>
      <c r="F99" s="11" t="n">
        <f aca="false">Q!F47</f>
        <v>306</v>
      </c>
      <c r="G99" s="11" t="n">
        <f aca="false">Q!G47</f>
        <v>196</v>
      </c>
      <c r="H99" s="11" t="n">
        <f aca="false">Q!H47</f>
        <v>318</v>
      </c>
      <c r="I99" s="11" t="n">
        <f aca="false">Q!I47</f>
        <v>420</v>
      </c>
      <c r="J99" s="11" t="n">
        <f aca="false">Q!J47</f>
        <v>419</v>
      </c>
      <c r="K99" s="11" t="n">
        <f aca="false">Q!M47</f>
        <v>1044</v>
      </c>
    </row>
    <row r="100" customFormat="false" ht="17.15" hidden="false" customHeight="false" outlineLevel="0" collapsed="false">
      <c r="A100" s="2" t="s">
        <v>538</v>
      </c>
      <c r="B100" s="0" t="s">
        <v>47</v>
      </c>
      <c r="C100" s="10" t="n">
        <f aca="false">Q!C48</f>
        <v>0.0408796165773893</v>
      </c>
      <c r="D100" s="10" t="n">
        <f aca="false">Q!D48</f>
        <v>0.0508034026465028</v>
      </c>
      <c r="E100" s="10" t="n">
        <f aca="false">Q!E48</f>
        <v>0.0675619834710744</v>
      </c>
      <c r="F100" s="10" t="n">
        <f aca="false">Q!F48</f>
        <v>0.0541880644590048</v>
      </c>
      <c r="G100" s="10" t="n">
        <f aca="false">Q!G48</f>
        <v>0.0349812600392647</v>
      </c>
      <c r="H100" s="10" t="n">
        <f aca="false">Q!H48</f>
        <v>0.0494402985074627</v>
      </c>
      <c r="I100" s="10" t="n">
        <f aca="false">Q!I48</f>
        <v>0.056941431670282</v>
      </c>
      <c r="J100" s="10" t="n">
        <f aca="false">Q!J48</f>
        <v>0.0521144278606965</v>
      </c>
      <c r="K100" s="10" t="n">
        <f aca="false">Q!M48</f>
        <v>0.0513728963684677</v>
      </c>
    </row>
    <row r="101" customFormat="false" ht="15" hidden="false" customHeight="false" outlineLevel="0" collapsed="false">
      <c r="A101" s="2" t="s">
        <v>725</v>
      </c>
      <c r="B101" s="0" t="s">
        <v>47</v>
      </c>
      <c r="C101" s="12" t="n">
        <f aca="false">Q!C39</f>
        <v>0.0939420544337138</v>
      </c>
      <c r="D101" s="12" t="n">
        <f aca="false">Q!D39</f>
        <v>0.102631578947368</v>
      </c>
      <c r="E101" s="12" t="n">
        <f aca="false">Q!E39</f>
        <v>0.0887880751782242</v>
      </c>
      <c r="F101" s="12" t="n">
        <f aca="false">Q!F39</f>
        <v>0.0963890506697729</v>
      </c>
      <c r="G101" s="12" t="n">
        <f aca="false">Q!G39</f>
        <v>0.086848635235732</v>
      </c>
      <c r="H101" s="12" t="n">
        <f aca="false">Q!H39</f>
        <v>0.0832157968970381</v>
      </c>
      <c r="I101" s="12" t="n">
        <f aca="false">Q!I39</f>
        <v>0.0734582193222479</v>
      </c>
      <c r="J101" s="12" t="n">
        <f aca="false">Q!J39</f>
        <v>0.0735237360092628</v>
      </c>
      <c r="K101" s="12" t="n">
        <f aca="false">Q!M39</f>
        <v>0.0931521824002499</v>
      </c>
    </row>
    <row r="102" customFormat="false" ht="17.15" hidden="false" customHeight="false" outlineLevel="0" collapsed="false">
      <c r="A102" s="2" t="s">
        <v>726</v>
      </c>
      <c r="B102" s="0" t="s">
        <v>47</v>
      </c>
      <c r="K102" s="19" t="n">
        <v>0.75</v>
      </c>
    </row>
    <row r="103" customFormat="false" ht="17.15" hidden="false" customHeight="false" outlineLevel="0" collapsed="false">
      <c r="A103" s="2" t="s">
        <v>727</v>
      </c>
      <c r="B103" s="0" t="s">
        <v>387</v>
      </c>
      <c r="L103" s="14" t="n">
        <f aca="false">ttm_lev_xg</f>
        <v>3.8640059127864</v>
      </c>
    </row>
    <row r="104" customFormat="false" ht="17.15" hidden="false" customHeight="false" outlineLevel="0" collapsed="false">
      <c r="A104" s="2" t="s">
        <v>728</v>
      </c>
    </row>
    <row r="106" customFormat="false" ht="17.15" hidden="false" customHeight="false" outlineLevel="0" collapsed="false">
      <c r="A106" s="5" t="s">
        <v>729</v>
      </c>
    </row>
    <row r="107" customFormat="false" ht="15" hidden="false" customHeight="false" outlineLevel="0" collapsed="false">
      <c r="A107" s="4" t="s">
        <v>730</v>
      </c>
      <c r="B107" s="4" t="s">
        <v>15</v>
      </c>
      <c r="C107" s="4" t="s">
        <v>731</v>
      </c>
      <c r="D107" s="4" t="s">
        <v>732</v>
      </c>
      <c r="E107" s="4" t="s">
        <v>733</v>
      </c>
    </row>
    <row r="108" customFormat="false" ht="15" hidden="false" customHeight="false" outlineLevel="0" collapsed="false">
      <c r="A108" s="2" t="s">
        <v>667</v>
      </c>
      <c r="B108" s="0" t="s">
        <v>166</v>
      </c>
      <c r="C108" s="11" t="n">
        <f aca="false">lq_cash</f>
        <v>3049</v>
      </c>
      <c r="D108" s="19" t="n">
        <v>1</v>
      </c>
      <c r="E108" s="11" t="n">
        <f aca="false">C108*D108</f>
        <v>3049</v>
      </c>
    </row>
    <row r="109" customFormat="false" ht="15" hidden="false" customHeight="false" outlineLevel="0" collapsed="false">
      <c r="A109" s="2" t="s">
        <v>734</v>
      </c>
      <c r="B109" s="0" t="s">
        <v>166</v>
      </c>
      <c r="C109" s="11" t="n">
        <f aca="false">lq_frhfs</f>
        <v>896</v>
      </c>
      <c r="D109" s="19" t="n">
        <v>0.9</v>
      </c>
      <c r="E109" s="11" t="n">
        <f aca="false">C109*D109</f>
        <v>806.4</v>
      </c>
    </row>
    <row r="110" customFormat="false" ht="15" hidden="false" customHeight="false" outlineLevel="0" collapsed="false">
      <c r="A110" s="2" t="s">
        <v>735</v>
      </c>
      <c r="B110" s="0" t="s">
        <v>166</v>
      </c>
      <c r="C110" s="11" t="n">
        <f aca="false">lq_inv</f>
        <v>3456</v>
      </c>
      <c r="D110" s="19" t="n">
        <v>0.75</v>
      </c>
      <c r="E110" s="11" t="n">
        <f aca="false">C110*D110</f>
        <v>2592</v>
      </c>
    </row>
    <row r="111" customFormat="false" ht="15" hidden="false" customHeight="false" outlineLevel="0" collapsed="false">
      <c r="A111" s="2" t="s">
        <v>736</v>
      </c>
      <c r="B111" s="0" t="s">
        <v>166</v>
      </c>
      <c r="C111" s="11" t="n">
        <f aca="false">lq_bi</f>
        <v>557</v>
      </c>
      <c r="D111" s="19" t="n">
        <v>0.6</v>
      </c>
      <c r="E111" s="11" t="n">
        <f aca="false">C111*D111</f>
        <v>334.2</v>
      </c>
    </row>
    <row r="112" customFormat="false" ht="15" hidden="false" customHeight="false" outlineLevel="0" collapsed="false">
      <c r="A112" s="2" t="s">
        <v>737</v>
      </c>
      <c r="B112" s="0" t="s">
        <v>166</v>
      </c>
      <c r="C112" s="11" t="n">
        <f aca="false">320</f>
        <v>320</v>
      </c>
      <c r="D112" s="19" t="n">
        <v>0.8</v>
      </c>
      <c r="E112" s="11" t="n">
        <f aca="false">C112*D112</f>
        <v>256</v>
      </c>
    </row>
    <row r="113" customFormat="false" ht="15" hidden="false" customHeight="false" outlineLevel="0" collapsed="false">
      <c r="A113" s="2" t="s">
        <v>738</v>
      </c>
      <c r="B113" s="0" t="s">
        <v>166</v>
      </c>
      <c r="C113" s="11" t="n">
        <f aca="false">2914</f>
        <v>2914</v>
      </c>
      <c r="D113" s="19" t="n">
        <v>0.5</v>
      </c>
      <c r="E113" s="11" t="n">
        <f aca="false">C113*D113</f>
        <v>1457</v>
      </c>
    </row>
    <row r="114" customFormat="false" ht="17.15" hidden="false" customHeight="false" outlineLevel="0" collapsed="false">
      <c r="A114" s="2" t="s">
        <v>739</v>
      </c>
      <c r="B114" s="0" t="s">
        <v>166</v>
      </c>
      <c r="C114" s="11" t="n">
        <f aca="false">SUM(C108:C113)</f>
        <v>11192</v>
      </c>
      <c r="E114" s="11" t="n">
        <f aca="false">SUM(E108:E113)</f>
        <v>8494.6</v>
      </c>
    </row>
    <row r="115" customFormat="false" ht="17.15" hidden="false" customHeight="false" outlineLevel="0" collapsed="false">
      <c r="A115" s="4" t="s">
        <v>740</v>
      </c>
      <c r="B115" s="4" t="s">
        <v>15</v>
      </c>
      <c r="C115" s="4" t="s">
        <v>741</v>
      </c>
      <c r="D115" s="4" t="s">
        <v>742</v>
      </c>
      <c r="E115" s="4" t="s">
        <v>743</v>
      </c>
    </row>
    <row r="116" customFormat="false" ht="17.15" hidden="false" customHeight="false" outlineLevel="0" collapsed="false">
      <c r="A116" s="2" t="s">
        <v>744</v>
      </c>
      <c r="B116" s="0" t="s">
        <v>166</v>
      </c>
      <c r="C116" s="11" t="n">
        <f aca="false">71+427+re_fin+fleet+finls</f>
        <v>1243</v>
      </c>
      <c r="D116" s="11" t="n">
        <f aca="false">C116</f>
        <v>1243</v>
      </c>
      <c r="E116" s="20" t="n">
        <f aca="false">$E$114/D116</f>
        <v>6.83395012067579</v>
      </c>
    </row>
    <row r="117" customFormat="false" ht="17.15" hidden="false" customHeight="false" outlineLevel="0" collapsed="false">
      <c r="A117" s="2" t="s">
        <v>745</v>
      </c>
      <c r="B117" s="0" t="s">
        <v>166</v>
      </c>
      <c r="C117" s="11" t="n">
        <f aca="false">tlb+ssn_31</f>
        <v>3929</v>
      </c>
      <c r="D117" s="11" t="n">
        <f aca="false">D116+C117</f>
        <v>5172</v>
      </c>
      <c r="E117" s="20" t="n">
        <f aca="false">$E$114/D117</f>
        <v>1.64242072699149</v>
      </c>
    </row>
    <row r="118" customFormat="false" ht="15" hidden="false" customHeight="false" outlineLevel="0" collapsed="false">
      <c r="A118" s="2" t="s">
        <v>658</v>
      </c>
      <c r="B118" s="0" t="s">
        <v>166</v>
      </c>
      <c r="C118" s="11" t="n">
        <f aca="false">uns</f>
        <v>107</v>
      </c>
      <c r="D118" s="11" t="n">
        <f aca="false">D117+C118</f>
        <v>5279</v>
      </c>
      <c r="E118" s="20" t="n">
        <f aca="false">$E$114/D118</f>
        <v>1.6091305171434</v>
      </c>
    </row>
    <row r="119" customFormat="false" ht="17.15" hidden="false" customHeight="false" outlineLevel="0" collapsed="false">
      <c r="A119" s="0" t="s">
        <v>746</v>
      </c>
      <c r="B119" s="0" t="s">
        <v>166</v>
      </c>
      <c r="C119" s="11" t="n">
        <f aca="false">tra_0</f>
        <v>2130</v>
      </c>
      <c r="D119" s="11" t="n">
        <f aca="false">D118+C119</f>
        <v>7409</v>
      </c>
      <c r="E119" s="20" t="n">
        <f aca="false">$E$114/D119</f>
        <v>1.1465244972331</v>
      </c>
    </row>
    <row r="121" customFormat="false" ht="17.15" hidden="false" customHeight="false" outlineLevel="0" collapsed="false">
      <c r="A121" s="5" t="s">
        <v>747</v>
      </c>
    </row>
    <row r="122" customFormat="false" ht="15" hidden="false" customHeight="false" outlineLevel="0" collapsed="false">
      <c r="A122" s="9" t="s">
        <v>748</v>
      </c>
      <c r="C122" s="21" t="n">
        <v>-0.2</v>
      </c>
      <c r="D122" s="21" t="n">
        <v>-0.1</v>
      </c>
      <c r="E122" s="21" t="n">
        <v>0</v>
      </c>
      <c r="F122" s="21" t="n">
        <v>0.1</v>
      </c>
    </row>
    <row r="123" customFormat="false" ht="15" hidden="false" customHeight="false" outlineLevel="0" collapsed="false">
      <c r="A123" s="22" t="n">
        <v>-0.04</v>
      </c>
      <c r="C123" s="14" t="n">
        <f aca="false">Credit!E24/(PL!E62+Thesis!E34*C$122*(Thesis!E50-Thesis!E53)/1000000+Thesis!E34*(1+C$122)*Thesis!E41*$A123/1000000)</f>
        <v>2.40818948809404</v>
      </c>
      <c r="D123" s="14" t="n">
        <f aca="false">Credit!E24/(PL!E62+Thesis!E34*D$122*(Thesis!E50-Thesis!E53)/1000000+Thesis!E34*(1+D$122)*Thesis!E41*$A123/1000000)</f>
        <v>2.10476711515574</v>
      </c>
      <c r="E123" s="14" t="n">
        <f aca="false">Credit!E24/(PL!E62+Thesis!E34*E$122*(Thesis!E50-Thesis!E53)/1000000+Thesis!E34*(1+E$122)*Thesis!E41*$A123/1000000)</f>
        <v>1.86924910399027</v>
      </c>
      <c r="F123" s="14" t="n">
        <f aca="false">Credit!E24/(PL!E62+Thesis!E34*F$122*(Thesis!E50-Thesis!E53)/1000000+Thesis!E34*(1+F$122)*Thesis!E41*$A123/1000000)</f>
        <v>1.68113449077787</v>
      </c>
    </row>
    <row r="124" customFormat="false" ht="15" hidden="false" customHeight="false" outlineLevel="0" collapsed="false">
      <c r="A124" s="22" t="n">
        <v>-0.03</v>
      </c>
      <c r="C124" s="14" t="n">
        <f aca="false">Credit!E24/(PL!E62+Thesis!E34*C$122*(Thesis!E50-Thesis!E53)/1000000+Thesis!E34*(1+C$122)*Thesis!E41*$A124/1000000)</f>
        <v>2.21098673507789</v>
      </c>
      <c r="D124" s="14" t="n">
        <f aca="false">Credit!E24/(PL!E62+Thesis!E34*D$122*(Thesis!E50-Thesis!E53)/1000000+Thesis!E34*(1+D$122)*Thesis!E41*$A124/1000000)</f>
        <v>1.93506462106374</v>
      </c>
      <c r="E124" s="14" t="n">
        <f aca="false">Credit!E24/(PL!E62+Thesis!E34*E$122*(Thesis!E50-Thesis!E53)/1000000+Thesis!E34*(1+E$122)*Thesis!E41*$A124/1000000)</f>
        <v>1.7203695303318</v>
      </c>
      <c r="F124" s="14" t="n">
        <f aca="false">Credit!E24/(PL!E62+Thesis!E34*F$122*(Thesis!E50-Thesis!E53)/1000000+Thesis!E34*(1+F$122)*Thesis!E41*$A124/1000000)</f>
        <v>1.54855735505453</v>
      </c>
    </row>
    <row r="125" customFormat="false" ht="15" hidden="false" customHeight="false" outlineLevel="0" collapsed="false">
      <c r="A125" s="22" t="n">
        <v>-0.02</v>
      </c>
      <c r="C125" s="14" t="n">
        <f aca="false">Credit!E24/(PL!E62+Thesis!E34*C$122*(Thesis!E50-Thesis!E53)/1000000+Thesis!E34*(1+C$122)*Thesis!E41*$A125/1000000)</f>
        <v>2.0436366278043</v>
      </c>
      <c r="D125" s="14" t="n">
        <f aca="false">Credit!E24/(PL!E62+Thesis!E34*D$122*(Thesis!E50-Thesis!E53)/1000000+Thesis!E34*(1+D$122)*Thesis!E41*$A125/1000000)</f>
        <v>1.79068577727153</v>
      </c>
      <c r="E125" s="14" t="n">
        <f aca="false">Credit!E24/(PL!E62+Thesis!E34*E$122*(Thesis!E50-Thesis!E53)/1000000+Thesis!E34*(1+E$122)*Thesis!E41*$A125/1000000)</f>
        <v>1.59345597667811</v>
      </c>
      <c r="F125" s="14" t="n">
        <f aca="false">Credit!E24/(PL!E62+Thesis!E34*F$122*(Thesis!E50-Thesis!E53)/1000000+Thesis!E34*(1+F$122)*Thesis!E41*$A125/1000000)</f>
        <v>1.43536223867735</v>
      </c>
    </row>
    <row r="126" customFormat="false" ht="15" hidden="false" customHeight="false" outlineLevel="0" collapsed="false">
      <c r="A126" s="22" t="n">
        <v>-0.01</v>
      </c>
      <c r="C126" s="14" t="n">
        <f aca="false">Credit!E24/(PL!E62+Thesis!E34*C$122*(Thesis!E50-Thesis!E53)/1000000+Thesis!E34*(1+C$122)*Thesis!E41*$A126/1000000)</f>
        <v>1.89983748093782</v>
      </c>
      <c r="D126" s="14" t="n">
        <f aca="false">Credit!E24/(PL!E62+Thesis!E34*D$122*(Thesis!E50-Thesis!E53)/1000000+Thesis!E34*(1+D$122)*Thesis!E41*$A126/1000000)</f>
        <v>1.66635580798548</v>
      </c>
      <c r="E126" s="14" t="n">
        <f aca="false">Credit!E24/(PL!E62+Thesis!E34*E$122*(Thesis!E50-Thesis!E53)/1000000+Thesis!E34*(1+E$122)*Thesis!E41*$A126/1000000)</f>
        <v>1.48398106060049</v>
      </c>
      <c r="F126" s="14" t="n">
        <f aca="false">Credit!E24/(PL!E62+Thesis!E34*F$122*(Thesis!E50-Thesis!E53)/1000000+Thesis!E34*(1+F$122)*Thesis!E41*$A126/1000000)</f>
        <v>1.3375883533101</v>
      </c>
    </row>
    <row r="127" customFormat="false" ht="15" hidden="false" customHeight="false" outlineLevel="0" collapsed="false">
      <c r="A127" s="22" t="n">
        <v>0</v>
      </c>
      <c r="C127" s="14" t="n">
        <f aca="false">Credit!E24/(PL!E62+Thesis!E34*C$122*(Thesis!E50-Thesis!E53)/1000000+Thesis!E34*(1+C$122)*Thesis!E41*$A127/1000000)</f>
        <v>1.77494466712026</v>
      </c>
      <c r="D127" s="14" t="n">
        <f aca="false">Credit!E24/(PL!E62+Thesis!E34*D$122*(Thesis!E50-Thesis!E53)/1000000+Thesis!E34*(1+D$122)*Thesis!E41*$A127/1000000)</f>
        <v>1.5581697699339</v>
      </c>
      <c r="E127" s="14" t="n">
        <f aca="false">Credit!E24/(PL!E62+Thesis!E34*E$122*(Thesis!E50-Thesis!E53)/1000000+Thesis!E34*(1+E$122)*Thesis!E41*$A127/1000000)</f>
        <v>1.38858159209526</v>
      </c>
      <c r="F127" s="14" t="n">
        <f aca="false">Credit!E24/(PL!E62+Thesis!E34*F$122*(Thesis!E50-Thesis!E53)/1000000+Thesis!E34*(1+F$122)*Thesis!E41*$A127/1000000)</f>
        <v>1.25228528838715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</cols>
  <sheetData>
    <row r="1" customFormat="false" ht="17.15" hidden="false" customHeight="false" outlineLevel="0" collapsed="false">
      <c r="A1" s="0" t="s">
        <v>749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750</v>
      </c>
      <c r="D3" s="4"/>
      <c r="E3" s="4" t="s">
        <v>751</v>
      </c>
    </row>
    <row r="5" customFormat="false" ht="17.15" hidden="false" customHeight="false" outlineLevel="0" collapsed="false">
      <c r="A5" s="2" t="s">
        <v>752</v>
      </c>
      <c r="B5" s="0" t="s">
        <v>47</v>
      </c>
      <c r="C5" s="12" t="n">
        <f aca="false">rf+beta*erp</f>
        <v>0.185425</v>
      </c>
      <c r="E5" s="7" t="s">
        <v>753</v>
      </c>
    </row>
    <row r="6" customFormat="false" ht="17.15" hidden="false" customHeight="false" outlineLevel="0" collapsed="false">
      <c r="A6" s="2" t="s">
        <v>754</v>
      </c>
      <c r="B6" s="0" t="s">
        <v>166</v>
      </c>
      <c r="C6" s="11" t="n">
        <f aca="false">px*sh_fx</f>
        <v>72116.73</v>
      </c>
    </row>
    <row r="7" customFormat="false" ht="17.15" hidden="false" customHeight="false" outlineLevel="0" collapsed="false">
      <c r="A7" s="2" t="s">
        <v>755</v>
      </c>
      <c r="B7" s="0" t="s">
        <v>166</v>
      </c>
      <c r="C7" s="11" t="n">
        <f aca="false">lq_debt_bs</f>
        <v>5228</v>
      </c>
    </row>
    <row r="8" customFormat="false" ht="15" hidden="false" customHeight="false" outlineLevel="0" collapsed="false">
      <c r="A8" s="0" t="s">
        <v>756</v>
      </c>
      <c r="B8" s="0" t="s">
        <v>47</v>
      </c>
      <c r="C8" s="12" t="n">
        <f aca="false">C5*C6/(C6+C7)+kd*(1-t_val)*C7/(C6+C7)</f>
        <v>0.177057149381211</v>
      </c>
      <c r="E8" s="2" t="s">
        <v>757</v>
      </c>
    </row>
    <row r="9" customFormat="false" ht="17.15" hidden="false" customHeight="false" outlineLevel="0" collapsed="false">
      <c r="A9" s="2" t="s">
        <v>758</v>
      </c>
      <c r="B9" s="0" t="s">
        <v>166</v>
      </c>
      <c r="C9" s="11" t="n">
        <f aca="false">lq_debt_bs-lq_cash</f>
        <v>2179</v>
      </c>
    </row>
    <row r="10" customFormat="false" ht="17.15" hidden="false" customHeight="false" outlineLevel="0" collapsed="false">
      <c r="A10" s="0" t="s">
        <v>759</v>
      </c>
      <c r="B10" s="0" t="s">
        <v>166</v>
      </c>
      <c r="C10" s="11" t="n">
        <f aca="false">tra_0</f>
        <v>2130</v>
      </c>
      <c r="E10" s="2" t="s">
        <v>760</v>
      </c>
    </row>
    <row r="11" customFormat="false" ht="17.15" hidden="false" customHeight="false" outlineLevel="0" collapsed="false">
      <c r="A11" s="2" t="s">
        <v>761</v>
      </c>
      <c r="B11" s="0" t="s">
        <v>387</v>
      </c>
      <c r="C11" s="14" t="n">
        <f aca="false">MEDIAN(peer_lad,peer_an)</f>
        <v>11.38</v>
      </c>
    </row>
    <row r="12" customFormat="false" ht="17.15" hidden="false" customHeight="false" outlineLevel="0" collapsed="false">
      <c r="A12" s="2" t="s">
        <v>762</v>
      </c>
      <c r="B12" s="0" t="s">
        <v>387</v>
      </c>
      <c r="C12" s="14" t="n">
        <f aca="false">C11*prem</f>
        <v>17.07</v>
      </c>
    </row>
    <row r="13" customFormat="false" ht="17.15" hidden="false" customHeight="false" outlineLevel="0" collapsed="false">
      <c r="A13" s="2" t="s">
        <v>763</v>
      </c>
      <c r="B13" s="0" t="s">
        <v>166</v>
      </c>
      <c r="C13" s="11" t="n">
        <f aca="false">C6+C9+C10</f>
        <v>76425.73</v>
      </c>
    </row>
    <row r="14" customFormat="false" ht="17.15" hidden="false" customHeight="false" outlineLevel="0" collapsed="false">
      <c r="A14" s="2" t="s">
        <v>764</v>
      </c>
      <c r="B14" s="0" t="s">
        <v>387</v>
      </c>
      <c r="C14" s="16" t="n">
        <f aca="false">C13/ttm_ebitda</f>
        <v>27.7709774709302</v>
      </c>
    </row>
    <row r="16" customFormat="false" ht="17.15" hidden="false" customHeight="false" outlineLevel="0" collapsed="false">
      <c r="A16" s="8" t="s">
        <v>765</v>
      </c>
      <c r="B16" s="4" t="s">
        <v>15</v>
      </c>
      <c r="C16" s="8" t="s">
        <v>556</v>
      </c>
      <c r="D16" s="8" t="s">
        <v>557</v>
      </c>
      <c r="E16" s="8" t="s">
        <v>558</v>
      </c>
      <c r="F16" s="8" t="s">
        <v>559</v>
      </c>
      <c r="G16" s="8" t="s">
        <v>560</v>
      </c>
      <c r="H16" s="8" t="s">
        <v>561</v>
      </c>
      <c r="I16" s="8" t="s">
        <v>562</v>
      </c>
      <c r="J16" s="8" t="s">
        <v>563</v>
      </c>
      <c r="K16" s="8" t="s">
        <v>564</v>
      </c>
    </row>
    <row r="17" customFormat="false" ht="17.15" hidden="false" customHeight="false" outlineLevel="0" collapsed="false">
      <c r="A17" s="9" t="s">
        <v>553</v>
      </c>
    </row>
    <row r="18" customFormat="false" ht="15" hidden="false" customHeight="false" outlineLevel="0" collapsed="false">
      <c r="A18" s="2" t="s">
        <v>503</v>
      </c>
      <c r="B18" s="0" t="s">
        <v>166</v>
      </c>
      <c r="C18" s="11" t="n">
        <f aca="false">PL!E21</f>
        <v>4156.901493088</v>
      </c>
      <c r="D18" s="11" t="n">
        <f aca="false">PL!F21</f>
        <v>5709.44303900816</v>
      </c>
      <c r="E18" s="11" t="n">
        <f aca="false">PL!G21</f>
        <v>7493.06974083103</v>
      </c>
      <c r="F18" s="11" t="n">
        <f aca="false">PL!H21</f>
        <v>9428.95843988145</v>
      </c>
      <c r="G18" s="11" t="n">
        <f aca="false">PL!I21</f>
        <v>11481.0402761968</v>
      </c>
      <c r="H18" s="11" t="n">
        <f aca="false">PL!J21</f>
        <v>13641.9021141617</v>
      </c>
      <c r="I18" s="11" t="n">
        <f aca="false">PL!K21</f>
        <v>14954.5413349168</v>
      </c>
      <c r="J18" s="11" t="n">
        <f aca="false">PL!L21</f>
        <v>15263.3882648566</v>
      </c>
      <c r="K18" s="11" t="n">
        <f aca="false">PL!M21</f>
        <v>15567.9806552824</v>
      </c>
    </row>
    <row r="19" customFormat="false" ht="17.15" hidden="false" customHeight="false" outlineLevel="0" collapsed="false">
      <c r="A19" s="2" t="s">
        <v>766</v>
      </c>
      <c r="B19" s="0" t="s">
        <v>166</v>
      </c>
      <c r="C19" s="11" t="n">
        <f aca="false">-MAX(0,PL!E21)*ctr</f>
        <v>-124.70704479264</v>
      </c>
      <c r="D19" s="11" t="n">
        <f aca="false">-MAX(0,PL!F21)*ctr</f>
        <v>-171.283291170245</v>
      </c>
      <c r="E19" s="11" t="n">
        <f aca="false">-MAX(0,PL!G21)*(etr_27+(etr_30-etr_27)*2/3)</f>
        <v>-1198.89115853296</v>
      </c>
      <c r="F19" s="11" t="n">
        <f aca="false">-MAX(0,PL!H21)*etr_30</f>
        <v>-1697.21251917866</v>
      </c>
      <c r="G19" s="11" t="n">
        <f aca="false">-MAX(0,PL!I21)*etr_30</f>
        <v>-2066.58724971543</v>
      </c>
      <c r="H19" s="11" t="n">
        <f aca="false">-MAX(0,PL!J21)*etr_30</f>
        <v>-2455.5423805491</v>
      </c>
      <c r="I19" s="11" t="n">
        <f aca="false">-MAX(0,PL!K21)*etr_30</f>
        <v>-2691.81744028503</v>
      </c>
      <c r="J19" s="11" t="n">
        <f aca="false">-MAX(0,PL!L21)*etr_30</f>
        <v>-2747.40988767419</v>
      </c>
      <c r="K19" s="11" t="n">
        <f aca="false">-MAX(0,PL!M21)*etr_30</f>
        <v>-2802.23651795083</v>
      </c>
    </row>
    <row r="20" customFormat="false" ht="17.15" hidden="false" customHeight="false" outlineLevel="0" collapsed="false">
      <c r="A20" s="2" t="s">
        <v>638</v>
      </c>
      <c r="B20" s="0" t="s">
        <v>166</v>
      </c>
      <c r="C20" s="11" t="n">
        <f aca="false">CF!E19</f>
        <v>380.07</v>
      </c>
      <c r="D20" s="11" t="n">
        <f aca="false">CF!F19</f>
        <v>396.975761116235</v>
      </c>
      <c r="E20" s="11" t="n">
        <f aca="false">CF!G19</f>
        <v>424.440802784132</v>
      </c>
      <c r="F20" s="11" t="n">
        <f aca="false">CF!H19</f>
        <v>452.782198630958</v>
      </c>
      <c r="G20" s="11" t="n">
        <f aca="false">CF!I19</f>
        <v>482.396203960067</v>
      </c>
      <c r="H20" s="11" t="n">
        <f aca="false">CF!J19</f>
        <v>512.65222668516</v>
      </c>
      <c r="I20" s="11" t="n">
        <f aca="false">CF!K19</f>
        <v>534.999926930012</v>
      </c>
      <c r="J20" s="11" t="n">
        <f aca="false">CF!L19</f>
        <v>548.614630620266</v>
      </c>
      <c r="K20" s="11" t="n">
        <f aca="false">CF!M19</f>
        <v>562.637775421227</v>
      </c>
    </row>
    <row r="21" customFormat="false" ht="15" hidden="false" customHeight="false" outlineLevel="0" collapsed="false">
      <c r="A21" s="2" t="s">
        <v>767</v>
      </c>
      <c r="B21" s="0" t="s">
        <v>166</v>
      </c>
      <c r="C21" s="11" t="n">
        <f aca="false">-CF!E24</f>
        <v>-285.603270969955</v>
      </c>
      <c r="D21" s="11" t="n">
        <f aca="false">-CF!F24</f>
        <v>-500.781447526868</v>
      </c>
      <c r="E21" s="11" t="n">
        <f aca="false">-CF!G24</f>
        <v>-578.642221022742</v>
      </c>
      <c r="F21" s="11" t="n">
        <f aca="false">-CF!H24</f>
        <v>-667.12499479147</v>
      </c>
      <c r="G21" s="11" t="n">
        <f aca="false">-CF!I24</f>
        <v>-752.682560581504</v>
      </c>
      <c r="H21" s="11" t="n">
        <f aca="false">-CF!J24</f>
        <v>-714.021479947202</v>
      </c>
      <c r="I21" s="11" t="n">
        <f aca="false">-CF!K24</f>
        <v>-629.032523955515</v>
      </c>
      <c r="J21" s="11" t="n">
        <f aca="false">-CF!L24</f>
        <v>-641.329406688216</v>
      </c>
      <c r="K21" s="11" t="n">
        <f aca="false">-CF!M24</f>
        <v>-653.872227075572</v>
      </c>
    </row>
    <row r="22" customFormat="false" ht="15" hidden="false" customHeight="false" outlineLevel="0" collapsed="false">
      <c r="A22" s="2" t="s">
        <v>768</v>
      </c>
      <c r="B22" s="0" t="s">
        <v>166</v>
      </c>
      <c r="C22" s="11" t="n">
        <f aca="false">CF!E21+CF!E22</f>
        <v>-955.606236420847</v>
      </c>
      <c r="D22" s="11" t="n">
        <f aca="false">CF!F21+CF!F22</f>
        <v>-1170.45891958441</v>
      </c>
      <c r="E22" s="11" t="n">
        <f aca="false">CF!G21+CF!G22</f>
        <v>-1329.62728347927</v>
      </c>
      <c r="F22" s="11" t="n">
        <f aca="false">CF!H21+CF!H22</f>
        <v>-1428.88719231343</v>
      </c>
      <c r="G22" s="11" t="n">
        <f aca="false">CF!I21+CF!I22</f>
        <v>-1572.76584168946</v>
      </c>
      <c r="H22" s="11" t="n">
        <f aca="false">CF!J21+CF!J22</f>
        <v>-1663.98928160638</v>
      </c>
      <c r="I22" s="11" t="n">
        <f aca="false">CF!K21+CF!K22</f>
        <v>-1031.55278049539</v>
      </c>
      <c r="J22" s="11" t="n">
        <f aca="false">CF!L21+CF!L22</f>
        <v>-278.961651163044</v>
      </c>
      <c r="K22" s="11" t="n">
        <f aca="false">CF!M21+CF!M22</f>
        <v>-283.977584368216</v>
      </c>
    </row>
    <row r="23" customFormat="false" ht="15" hidden="false" customHeight="false" outlineLevel="0" collapsed="false">
      <c r="A23" s="2" t="s">
        <v>769</v>
      </c>
      <c r="B23" s="0" t="s">
        <v>166</v>
      </c>
      <c r="C23" s="11" t="n">
        <f aca="false">SUM(C18:C22)</f>
        <v>3171.05494090456</v>
      </c>
      <c r="D23" s="11" t="n">
        <f aca="false">SUM(D18:D22)</f>
        <v>4263.89514184287</v>
      </c>
      <c r="E23" s="11" t="n">
        <f aca="false">SUM(E18:E22)</f>
        <v>4810.34988058018</v>
      </c>
      <c r="F23" s="11" t="n">
        <f aca="false">SUM(F18:F22)</f>
        <v>6088.51593222885</v>
      </c>
      <c r="G23" s="11" t="n">
        <f aca="false">SUM(G18:G22)</f>
        <v>7571.40082817049</v>
      </c>
      <c r="H23" s="11" t="n">
        <f aca="false">SUM(H18:H22)</f>
        <v>9321.00119874414</v>
      </c>
      <c r="I23" s="11" t="n">
        <f aca="false">SUM(I18:I22)</f>
        <v>11137.1385171109</v>
      </c>
      <c r="J23" s="11" t="n">
        <f aca="false">SUM(J18:J22)</f>
        <v>12144.3019499514</v>
      </c>
      <c r="K23" s="11" t="n">
        <f aca="false">SUM(K18:K22)</f>
        <v>12390.532101309</v>
      </c>
    </row>
    <row r="24" customFormat="false" ht="15" hidden="false" customHeight="false" outlineLevel="0" collapsed="false">
      <c r="A24" s="2" t="s">
        <v>770</v>
      </c>
      <c r="B24" s="0" t="s">
        <v>387</v>
      </c>
      <c r="C24" s="23" t="n">
        <f aca="false">1/(1+$C$8)^1</f>
        <v>0.849576420758931</v>
      </c>
      <c r="D24" s="23" t="n">
        <f aca="false">1/(1+$C$8)^2</f>
        <v>0.721780094709556</v>
      </c>
      <c r="E24" s="23" t="n">
        <f aca="false">1/(1+$C$8)^3</f>
        <v>0.613207349438387</v>
      </c>
      <c r="F24" s="23" t="n">
        <f aca="false">1/(1+$C$8)^4</f>
        <v>0.520966505118936</v>
      </c>
      <c r="G24" s="23" t="n">
        <f aca="false">1/(1+$C$8)^5</f>
        <v>0.442600858754235</v>
      </c>
      <c r="H24" s="23" t="n">
        <f aca="false">1/(1+$C$8)^6</f>
        <v>0.376023253405252</v>
      </c>
      <c r="I24" s="23" t="n">
        <f aca="false">1/(1+$C$8)^7</f>
        <v>0.319460489750163</v>
      </c>
      <c r="J24" s="23" t="n">
        <f aca="false">1/(1+$C$8)^8</f>
        <v>0.271406099455838</v>
      </c>
      <c r="K24" s="23" t="n">
        <f aca="false">1/(1+$C$8)^9</f>
        <v>0.230580222547834</v>
      </c>
    </row>
    <row r="25" customFormat="false" ht="15" hidden="false" customHeight="false" outlineLevel="0" collapsed="false">
      <c r="A25" s="2" t="s">
        <v>771</v>
      </c>
      <c r="B25" s="0" t="s">
        <v>166</v>
      </c>
      <c r="C25" s="11" t="n">
        <f aca="false">C23*C24</f>
        <v>2694.05350672362</v>
      </c>
      <c r="D25" s="11" t="n">
        <f aca="false">D23*D24</f>
        <v>3077.59463931096</v>
      </c>
      <c r="E25" s="11" t="n">
        <f aca="false">E23*E24</f>
        <v>2949.74190014184</v>
      </c>
      <c r="F25" s="11" t="n">
        <f aca="false">F23*F24</f>
        <v>3171.91286657422</v>
      </c>
      <c r="G25" s="11" t="n">
        <f aca="false">G23*G24</f>
        <v>3351.10850852078</v>
      </c>
      <c r="H25" s="11" t="n">
        <f aca="false">H23*H24</f>
        <v>3504.91319574603</v>
      </c>
      <c r="I25" s="11" t="n">
        <f aca="false">I23*I24</f>
        <v>3557.87572509165</v>
      </c>
      <c r="J25" s="11" t="n">
        <f aca="false">J23*J24</f>
        <v>3296.03762285025</v>
      </c>
      <c r="K25" s="11" t="n">
        <f aca="false">K23*K24</f>
        <v>2857.01164940591</v>
      </c>
    </row>
    <row r="26" customFormat="false" ht="15" hidden="false" customHeight="false" outlineLevel="0" collapsed="false">
      <c r="A26" s="2" t="s">
        <v>772</v>
      </c>
      <c r="B26" s="0" t="s">
        <v>166</v>
      </c>
      <c r="C26" s="11" t="n">
        <f aca="false">K23*(1+g_tv)/($C$8-g_tv)*K24</f>
        <v>20010.737398831</v>
      </c>
    </row>
    <row r="27" customFormat="false" ht="17.15" hidden="false" customHeight="false" outlineLevel="0" collapsed="false">
      <c r="A27" s="0" t="s">
        <v>773</v>
      </c>
      <c r="B27" s="0" t="s">
        <v>166</v>
      </c>
      <c r="C27" s="11" t="n">
        <f aca="false">SUM(C25:K25)+C26</f>
        <v>48470.9870131962</v>
      </c>
    </row>
    <row r="28" customFormat="false" ht="17.15" hidden="false" customHeight="false" outlineLevel="0" collapsed="false">
      <c r="A28" s="2" t="s">
        <v>774</v>
      </c>
      <c r="B28" s="0" t="s">
        <v>47</v>
      </c>
      <c r="C28" s="15" t="n">
        <f aca="false">C26/C27</f>
        <v>0.412839486709504</v>
      </c>
    </row>
    <row r="29" customFormat="false" ht="17.15" hidden="false" customHeight="false" outlineLevel="0" collapsed="false">
      <c r="A29" s="2" t="s">
        <v>775</v>
      </c>
      <c r="B29" s="0" t="s">
        <v>387</v>
      </c>
      <c r="C29" s="16" t="n">
        <f aca="false">C26/K24/PL!M33</f>
        <v>5.38710927146352</v>
      </c>
    </row>
    <row r="30" customFormat="false" ht="17.15" hidden="false" customHeight="false" outlineLevel="0" collapsed="false">
      <c r="A30" s="2" t="s">
        <v>776</v>
      </c>
      <c r="B30" s="0" t="s">
        <v>25</v>
      </c>
      <c r="C30" s="14" t="n">
        <f aca="false">(C27-$C$9-$C$10)/sh_fx</f>
        <v>39.1854365689408</v>
      </c>
    </row>
    <row r="31" customFormat="false" ht="17.15" hidden="false" customHeight="false" outlineLevel="0" collapsed="false">
      <c r="A31" s="2" t="s">
        <v>777</v>
      </c>
      <c r="B31" s="0" t="s">
        <v>25</v>
      </c>
      <c r="C31" s="14" t="n">
        <f aca="false">(PL!E33*$C$12-$C$9-$C$10)/sh_fx</f>
        <v>64.5773144516523</v>
      </c>
    </row>
    <row r="32" customFormat="false" ht="17.15" hidden="false" customHeight="false" outlineLevel="0" collapsed="false">
      <c r="A32" s="2" t="s">
        <v>778</v>
      </c>
      <c r="B32" s="0" t="s">
        <v>25</v>
      </c>
      <c r="C32" s="14" t="n">
        <f aca="false">w_dcf*C30+(1-w_dcf)*C31</f>
        <v>51.8813755102965</v>
      </c>
    </row>
    <row r="33" customFormat="false" ht="17.15" hidden="false" customHeight="false" outlineLevel="0" collapsed="false">
      <c r="A33" s="2" t="s">
        <v>779</v>
      </c>
      <c r="B33" s="0" t="s">
        <v>166</v>
      </c>
      <c r="C33" s="11" t="n">
        <f aca="false">-$C$13</f>
        <v>-76425.73</v>
      </c>
      <c r="D33" s="11" t="n">
        <f aca="false">C23</f>
        <v>3171.05494090456</v>
      </c>
      <c r="E33" s="11" t="n">
        <f aca="false">D23</f>
        <v>4263.89514184287</v>
      </c>
      <c r="F33" s="11" t="n">
        <f aca="false">E23</f>
        <v>4810.34988058018</v>
      </c>
      <c r="G33" s="11" t="n">
        <f aca="false">F23</f>
        <v>6088.51593222885</v>
      </c>
      <c r="H33" s="11" t="n">
        <f aca="false">G23</f>
        <v>7571.40082817049</v>
      </c>
      <c r="I33" s="11" t="n">
        <f aca="false">H23</f>
        <v>9321.00119874414</v>
      </c>
      <c r="J33" s="11" t="n">
        <f aca="false">I23</f>
        <v>11137.1385171109</v>
      </c>
      <c r="K33" s="11" t="n">
        <f aca="false">J23</f>
        <v>12144.3019499514</v>
      </c>
      <c r="L33" s="11" t="n">
        <f aca="false">K23+PL!M33*$C$12</f>
        <v>287381.71871342</v>
      </c>
    </row>
    <row r="34" customFormat="false" ht="17.15" hidden="false" customHeight="false" outlineLevel="0" collapsed="false">
      <c r="A34" s="2" t="s">
        <v>780</v>
      </c>
      <c r="B34" s="0" t="s">
        <v>47</v>
      </c>
      <c r="C34" s="10" t="n">
        <f aca="false">IRR(C33:L33)</f>
        <v>0.205423265763104</v>
      </c>
    </row>
    <row r="36" customFormat="false" ht="17.15" hidden="false" customHeight="false" outlineLevel="0" collapsed="false">
      <c r="A36" s="9" t="s">
        <v>577</v>
      </c>
    </row>
    <row r="37" customFormat="false" ht="15" hidden="false" customHeight="false" outlineLevel="0" collapsed="false">
      <c r="A37" s="2" t="s">
        <v>503</v>
      </c>
      <c r="B37" s="0" t="s">
        <v>166</v>
      </c>
      <c r="C37" s="11" t="n">
        <f aca="false">PL!E50</f>
        <v>3502.975827</v>
      </c>
      <c r="D37" s="11" t="n">
        <f aca="false">PL!F50</f>
        <v>4355.2131175555</v>
      </c>
      <c r="E37" s="11" t="n">
        <f aca="false">PL!G50</f>
        <v>5208.32491557153</v>
      </c>
      <c r="F37" s="11" t="n">
        <f aca="false">PL!H50</f>
        <v>6000.70700396525</v>
      </c>
      <c r="G37" s="11" t="n">
        <f aca="false">PL!I50</f>
        <v>6885.63997683054</v>
      </c>
      <c r="H37" s="11" t="n">
        <f aca="false">PL!J50</f>
        <v>7764.22946777608</v>
      </c>
      <c r="I37" s="11" t="n">
        <f aca="false">PL!K50</f>
        <v>8605.9412019598</v>
      </c>
      <c r="J37" s="11" t="n">
        <f aca="false">PL!L50</f>
        <v>9378.00022284609</v>
      </c>
      <c r="K37" s="11" t="n">
        <f aca="false">PL!M50</f>
        <v>10047.2521269528</v>
      </c>
    </row>
    <row r="38" customFormat="false" ht="17.15" hidden="false" customHeight="false" outlineLevel="0" collapsed="false">
      <c r="A38" s="2" t="s">
        <v>766</v>
      </c>
      <c r="B38" s="0" t="s">
        <v>166</v>
      </c>
      <c r="C38" s="11" t="n">
        <f aca="false">-MAX(0,PL!E50)*ctr</f>
        <v>-105.08927481</v>
      </c>
      <c r="D38" s="11" t="n">
        <f aca="false">-MAX(0,PL!F50)*ctr</f>
        <v>-130.656393526665</v>
      </c>
      <c r="E38" s="11" t="n">
        <f aca="false">-MAX(0,PL!G50)*(etr_27+(etr_30-etr_27)*2/3)</f>
        <v>-833.331986491445</v>
      </c>
      <c r="F38" s="11" t="n">
        <f aca="false">-MAX(0,PL!H50)*etr_30</f>
        <v>-1080.12726071375</v>
      </c>
      <c r="G38" s="11" t="n">
        <f aca="false">-MAX(0,PL!I50)*etr_30</f>
        <v>-1239.4151958295</v>
      </c>
      <c r="H38" s="11" t="n">
        <f aca="false">-MAX(0,PL!J50)*etr_30</f>
        <v>-1397.56130419969</v>
      </c>
      <c r="I38" s="11" t="n">
        <f aca="false">-MAX(0,PL!K50)*etr_30</f>
        <v>-1549.06941635276</v>
      </c>
      <c r="J38" s="11" t="n">
        <f aca="false">-MAX(0,PL!L50)*etr_30</f>
        <v>-1688.0400401123</v>
      </c>
      <c r="K38" s="11" t="n">
        <f aca="false">-MAX(0,PL!M50)*etr_30</f>
        <v>-1808.5053828515</v>
      </c>
    </row>
    <row r="39" customFormat="false" ht="17.15" hidden="false" customHeight="false" outlineLevel="0" collapsed="false">
      <c r="A39" s="2" t="s">
        <v>638</v>
      </c>
      <c r="B39" s="0" t="s">
        <v>166</v>
      </c>
      <c r="C39" s="11" t="n">
        <f aca="false">CF!E57</f>
        <v>380.07</v>
      </c>
      <c r="D39" s="11" t="n">
        <f aca="false">CF!F57</f>
        <v>391.4721</v>
      </c>
      <c r="E39" s="11" t="n">
        <f aca="false">CF!G57</f>
        <v>410.964634094118</v>
      </c>
      <c r="F39" s="11" t="n">
        <f aca="false">CF!H57</f>
        <v>431.868410226353</v>
      </c>
      <c r="G39" s="11" t="n">
        <f aca="false">CF!I57</f>
        <v>453.055137917397</v>
      </c>
      <c r="H39" s="11" t="n">
        <f aca="false">CF!J57</f>
        <v>474.246036360967</v>
      </c>
      <c r="I39" s="11" t="n">
        <f aca="false">CF!K57</f>
        <v>495.142735876767</v>
      </c>
      <c r="J39" s="11" t="n">
        <f aca="false">CF!L57</f>
        <v>515.44451201633</v>
      </c>
      <c r="K39" s="11" t="n">
        <f aca="false">CF!M57</f>
        <v>534.867974416506</v>
      </c>
    </row>
    <row r="40" customFormat="false" ht="15" hidden="false" customHeight="false" outlineLevel="0" collapsed="false">
      <c r="A40" s="2" t="s">
        <v>767</v>
      </c>
      <c r="B40" s="0" t="s">
        <v>166</v>
      </c>
      <c r="C40" s="11" t="n">
        <f aca="false">-CF!E62</f>
        <v>-191.287533831994</v>
      </c>
      <c r="D40" s="11" t="n">
        <f aca="false">-CF!F62</f>
        <v>-350.143322148845</v>
      </c>
      <c r="E40" s="11" t="n">
        <f aca="false">-CF!G62</f>
        <v>-409.817246254043</v>
      </c>
      <c r="F40" s="11" t="n">
        <f aca="false">-CF!H62</f>
        <v>-450.703711126955</v>
      </c>
      <c r="G40" s="11" t="n">
        <f aca="false">-CF!I62</f>
        <v>-488.569592369454</v>
      </c>
      <c r="H40" s="11" t="n">
        <f aca="false">-CF!J62</f>
        <v>-521.763365697162</v>
      </c>
      <c r="I40" s="11" t="n">
        <f aca="false">-CF!K62</f>
        <v>-548.826185619073</v>
      </c>
      <c r="J40" s="11" t="n">
        <f aca="false">-CF!L62</f>
        <v>-568.472542808181</v>
      </c>
      <c r="K40" s="11" t="n">
        <f aca="false">-CF!M62</f>
        <v>-606.9050434555</v>
      </c>
    </row>
    <row r="41" customFormat="false" ht="15" hidden="false" customHeight="false" outlineLevel="0" collapsed="false">
      <c r="A41" s="2" t="s">
        <v>768</v>
      </c>
      <c r="B41" s="0" t="s">
        <v>166</v>
      </c>
      <c r="C41" s="11" t="n">
        <f aca="false">CF!E59+CF!E60</f>
        <v>-769.634212584207</v>
      </c>
      <c r="D41" s="11" t="n">
        <f aca="false">CF!F59+CF!F60</f>
        <v>-824.366391163045</v>
      </c>
      <c r="E41" s="11" t="n">
        <f aca="false">CF!G59+CF!G60</f>
        <v>-854.302364140464</v>
      </c>
      <c r="F41" s="11" t="n">
        <f aca="false">CF!H59+CF!H60</f>
        <v>-829.551438428207</v>
      </c>
      <c r="G41" s="11" t="n">
        <f aca="false">CF!I59+CF!I60</f>
        <v>-852.495750437089</v>
      </c>
      <c r="H41" s="11" t="n">
        <f aca="false">CF!J59+CF!J60</f>
        <v>-857.068852074754</v>
      </c>
      <c r="I41" s="11" t="n">
        <f aca="false">CF!K59+CF!K60</f>
        <v>-834.063143597737</v>
      </c>
      <c r="J41" s="11" t="n">
        <f aca="false">CF!L59+CF!L60</f>
        <v>-780.772890001896</v>
      </c>
      <c r="K41" s="11" t="n">
        <f aca="false">CF!M59+CF!M60</f>
        <v>-696.106398853827</v>
      </c>
    </row>
    <row r="42" customFormat="false" ht="15" hidden="false" customHeight="false" outlineLevel="0" collapsed="false">
      <c r="A42" s="2" t="s">
        <v>769</v>
      </c>
      <c r="B42" s="0" t="s">
        <v>166</v>
      </c>
      <c r="C42" s="11" t="n">
        <f aca="false">SUM(C37:C41)</f>
        <v>2817.0348057738</v>
      </c>
      <c r="D42" s="11" t="n">
        <f aca="false">SUM(D37:D41)</f>
        <v>3441.51911071695</v>
      </c>
      <c r="E42" s="11" t="n">
        <f aca="false">SUM(E37:E41)</f>
        <v>3521.8379527797</v>
      </c>
      <c r="F42" s="11" t="n">
        <f aca="false">SUM(F37:F41)</f>
        <v>4072.1930039227</v>
      </c>
      <c r="G42" s="11" t="n">
        <f aca="false">SUM(G37:G41)</f>
        <v>4758.2145761119</v>
      </c>
      <c r="H42" s="11" t="n">
        <f aca="false">SUM(H37:H41)</f>
        <v>5462.08198216543</v>
      </c>
      <c r="I42" s="11" t="n">
        <f aca="false">SUM(I37:I41)</f>
        <v>6169.12519226699</v>
      </c>
      <c r="J42" s="11" t="n">
        <f aca="false">SUM(J37:J41)</f>
        <v>6856.15926194005</v>
      </c>
      <c r="K42" s="11" t="n">
        <f aca="false">SUM(K37:K41)</f>
        <v>7470.60327620846</v>
      </c>
    </row>
    <row r="43" customFormat="false" ht="15" hidden="false" customHeight="false" outlineLevel="0" collapsed="false">
      <c r="A43" s="2" t="s">
        <v>770</v>
      </c>
      <c r="B43" s="0" t="s">
        <v>387</v>
      </c>
      <c r="C43" s="23" t="n">
        <f aca="false">1/(1+$C$8)^1</f>
        <v>0.849576420758931</v>
      </c>
      <c r="D43" s="23" t="n">
        <f aca="false">1/(1+$C$8)^2</f>
        <v>0.721780094709556</v>
      </c>
      <c r="E43" s="23" t="n">
        <f aca="false">1/(1+$C$8)^3</f>
        <v>0.613207349438387</v>
      </c>
      <c r="F43" s="23" t="n">
        <f aca="false">1/(1+$C$8)^4</f>
        <v>0.520966505118936</v>
      </c>
      <c r="G43" s="23" t="n">
        <f aca="false">1/(1+$C$8)^5</f>
        <v>0.442600858754235</v>
      </c>
      <c r="H43" s="23" t="n">
        <f aca="false">1/(1+$C$8)^6</f>
        <v>0.376023253405252</v>
      </c>
      <c r="I43" s="23" t="n">
        <f aca="false">1/(1+$C$8)^7</f>
        <v>0.319460489750163</v>
      </c>
      <c r="J43" s="23" t="n">
        <f aca="false">1/(1+$C$8)^8</f>
        <v>0.271406099455838</v>
      </c>
      <c r="K43" s="23" t="n">
        <f aca="false">1/(1+$C$8)^9</f>
        <v>0.230580222547834</v>
      </c>
    </row>
    <row r="44" customFormat="false" ht="15" hidden="false" customHeight="false" outlineLevel="0" collapsed="false">
      <c r="A44" s="2" t="s">
        <v>771</v>
      </c>
      <c r="B44" s="0" t="s">
        <v>166</v>
      </c>
      <c r="C44" s="11" t="n">
        <f aca="false">C42*C43</f>
        <v>2393.28634744264</v>
      </c>
      <c r="D44" s="11" t="n">
        <f aca="false">D42*D43</f>
        <v>2484.01998967803</v>
      </c>
      <c r="E44" s="11" t="n">
        <f aca="false">E42*E43</f>
        <v>2159.61691617555</v>
      </c>
      <c r="F44" s="11" t="n">
        <f aca="false">F42*F43</f>
        <v>2121.47615742339</v>
      </c>
      <c r="G44" s="11" t="n">
        <f aca="false">G42*G43</f>
        <v>2105.98985752404</v>
      </c>
      <c r="H44" s="11" t="n">
        <f aca="false">H42*H43</f>
        <v>2053.86983730005</v>
      </c>
      <c r="I44" s="11" t="n">
        <f aca="false">I42*I43</f>
        <v>1970.79175525168</v>
      </c>
      <c r="J44" s="11" t="n">
        <f aca="false">J42*J43</f>
        <v>1860.80344253117</v>
      </c>
      <c r="K44" s="11" t="n">
        <f aca="false">K42*K43</f>
        <v>1722.57336599472</v>
      </c>
    </row>
    <row r="45" customFormat="false" ht="15" hidden="false" customHeight="false" outlineLevel="0" collapsed="false">
      <c r="A45" s="2" t="s">
        <v>772</v>
      </c>
      <c r="B45" s="0" t="s">
        <v>166</v>
      </c>
      <c r="C45" s="11" t="n">
        <f aca="false">K42*(1+g_tv)/($C$8-g_tv)*K43</f>
        <v>12065.0412063628</v>
      </c>
    </row>
    <row r="46" customFormat="false" ht="17.15" hidden="false" customHeight="false" outlineLevel="0" collapsed="false">
      <c r="A46" s="0" t="s">
        <v>773</v>
      </c>
      <c r="B46" s="0" t="s">
        <v>166</v>
      </c>
      <c r="C46" s="11" t="n">
        <f aca="false">SUM(C44:K44)+C45</f>
        <v>30937.468875684</v>
      </c>
    </row>
    <row r="47" customFormat="false" ht="17.15" hidden="false" customHeight="false" outlineLevel="0" collapsed="false">
      <c r="A47" s="2" t="s">
        <v>774</v>
      </c>
      <c r="B47" s="0" t="s">
        <v>47</v>
      </c>
      <c r="C47" s="15" t="n">
        <f aca="false">C45/C46</f>
        <v>0.389981522239059</v>
      </c>
    </row>
    <row r="48" customFormat="false" ht="17.15" hidden="false" customHeight="false" outlineLevel="0" collapsed="false">
      <c r="A48" s="2" t="s">
        <v>775</v>
      </c>
      <c r="B48" s="0" t="s">
        <v>387</v>
      </c>
      <c r="C48" s="16" t="n">
        <f aca="false">C45/K43/PL!M62</f>
        <v>4.95446510593583</v>
      </c>
    </row>
    <row r="49" customFormat="false" ht="17.15" hidden="false" customHeight="false" outlineLevel="0" collapsed="false">
      <c r="A49" s="2" t="s">
        <v>776</v>
      </c>
      <c r="B49" s="0" t="s">
        <v>25</v>
      </c>
      <c r="C49" s="14" t="n">
        <f aca="false">(C46-$C$9-$C$10)/sh_fx</f>
        <v>23.6277452313079</v>
      </c>
    </row>
    <row r="50" customFormat="false" ht="17.15" hidden="false" customHeight="false" outlineLevel="0" collapsed="false">
      <c r="A50" s="2" t="s">
        <v>777</v>
      </c>
      <c r="B50" s="0" t="s">
        <v>25</v>
      </c>
      <c r="C50" s="14" t="n">
        <f aca="false">(PL!E62*$C$12-$C$9-$C$10)/sh_fx</f>
        <v>54.6726905651198</v>
      </c>
    </row>
    <row r="51" customFormat="false" ht="17.15" hidden="false" customHeight="false" outlineLevel="0" collapsed="false">
      <c r="A51" s="2" t="s">
        <v>778</v>
      </c>
      <c r="B51" s="0" t="s">
        <v>25</v>
      </c>
      <c r="C51" s="14" t="n">
        <f aca="false">w_dcf*C49+(1-w_dcf)*C50</f>
        <v>39.1502178982139</v>
      </c>
    </row>
    <row r="52" customFormat="false" ht="17.15" hidden="false" customHeight="false" outlineLevel="0" collapsed="false">
      <c r="A52" s="2" t="s">
        <v>779</v>
      </c>
      <c r="B52" s="0" t="s">
        <v>166</v>
      </c>
      <c r="C52" s="11" t="n">
        <f aca="false">-$C$13</f>
        <v>-76425.73</v>
      </c>
      <c r="D52" s="11" t="n">
        <f aca="false">C42</f>
        <v>2817.0348057738</v>
      </c>
      <c r="E52" s="11" t="n">
        <f aca="false">D42</f>
        <v>3441.51911071695</v>
      </c>
      <c r="F52" s="11" t="n">
        <f aca="false">E42</f>
        <v>3521.8379527797</v>
      </c>
      <c r="G52" s="11" t="n">
        <f aca="false">F42</f>
        <v>4072.1930039227</v>
      </c>
      <c r="H52" s="11" t="n">
        <f aca="false">G42</f>
        <v>4758.2145761119</v>
      </c>
      <c r="I52" s="11" t="n">
        <f aca="false">H42</f>
        <v>5462.08198216543</v>
      </c>
      <c r="J52" s="11" t="n">
        <f aca="false">I42</f>
        <v>6169.12519226699</v>
      </c>
      <c r="K52" s="11" t="n">
        <f aca="false">J42</f>
        <v>6856.15926194005</v>
      </c>
      <c r="L52" s="11" t="n">
        <f aca="false">K42+PL!M62*$C$12</f>
        <v>187748.923406582</v>
      </c>
    </row>
    <row r="53" customFormat="false" ht="17.15" hidden="false" customHeight="false" outlineLevel="0" collapsed="false">
      <c r="A53" s="2" t="s">
        <v>780</v>
      </c>
      <c r="B53" s="0" t="s">
        <v>47</v>
      </c>
      <c r="C53" s="10" t="n">
        <f aca="false">IRR(C52:L52)</f>
        <v>0.141975046438624</v>
      </c>
    </row>
    <row r="55" customFormat="false" ht="17.15" hidden="false" customHeight="false" outlineLevel="0" collapsed="false">
      <c r="A55" s="9" t="s">
        <v>578</v>
      </c>
    </row>
    <row r="56" customFormat="false" ht="15" hidden="false" customHeight="false" outlineLevel="0" collapsed="false">
      <c r="A56" s="2" t="s">
        <v>503</v>
      </c>
      <c r="B56" s="0" t="s">
        <v>166</v>
      </c>
      <c r="C56" s="11" t="n">
        <f aca="false">PL!E79</f>
        <v>1016.51271118</v>
      </c>
      <c r="D56" s="11" t="n">
        <f aca="false">PL!F79</f>
        <v>1378.88845484392</v>
      </c>
      <c r="E56" s="11" t="n">
        <f aca="false">PL!G79</f>
        <v>1842.03553774372</v>
      </c>
      <c r="F56" s="11" t="n">
        <f aca="false">PL!H79</f>
        <v>2446.63803637971</v>
      </c>
      <c r="G56" s="11" t="n">
        <f aca="false">PL!I79</f>
        <v>2737.08391508169</v>
      </c>
      <c r="H56" s="11" t="n">
        <f aca="false">PL!J79</f>
        <v>3015.11495198278</v>
      </c>
      <c r="I56" s="11" t="n">
        <f aca="false">PL!K79</f>
        <v>3272.31761261118</v>
      </c>
      <c r="J56" s="11" t="n">
        <f aca="false">PL!L79</f>
        <v>3500.18122471828</v>
      </c>
      <c r="K56" s="11" t="n">
        <f aca="false">PL!M79</f>
        <v>3690.49638782506</v>
      </c>
    </row>
    <row r="57" customFormat="false" ht="17.15" hidden="false" customHeight="false" outlineLevel="0" collapsed="false">
      <c r="A57" s="2" t="s">
        <v>766</v>
      </c>
      <c r="B57" s="0" t="s">
        <v>166</v>
      </c>
      <c r="C57" s="11" t="n">
        <f aca="false">-MAX(0,PL!E79)*ctr</f>
        <v>-30.4953813354</v>
      </c>
      <c r="D57" s="11" t="n">
        <f aca="false">-MAX(0,PL!F79)*ctr</f>
        <v>-41.3666536453176</v>
      </c>
      <c r="E57" s="11" t="n">
        <f aca="false">-MAX(0,PL!G79)*(etr_27+(etr_30-etr_27)*2/3)</f>
        <v>-294.725686038995</v>
      </c>
      <c r="F57" s="11" t="n">
        <f aca="false">-MAX(0,PL!H79)*etr_30</f>
        <v>-440.394846548348</v>
      </c>
      <c r="G57" s="11" t="n">
        <f aca="false">-MAX(0,PL!I79)*etr_30</f>
        <v>-492.675104714704</v>
      </c>
      <c r="H57" s="11" t="n">
        <f aca="false">-MAX(0,PL!J79)*etr_30</f>
        <v>-542.7206913569</v>
      </c>
      <c r="I57" s="11" t="n">
        <f aca="false">-MAX(0,PL!K79)*etr_30</f>
        <v>-589.017170270013</v>
      </c>
      <c r="J57" s="11" t="n">
        <f aca="false">-MAX(0,PL!L79)*etr_30</f>
        <v>-630.03262044929</v>
      </c>
      <c r="K57" s="11" t="n">
        <f aca="false">-MAX(0,PL!M79)*etr_30</f>
        <v>-664.289349808512</v>
      </c>
    </row>
    <row r="58" customFormat="false" ht="17.15" hidden="false" customHeight="false" outlineLevel="0" collapsed="false">
      <c r="A58" s="2" t="s">
        <v>638</v>
      </c>
      <c r="B58" s="0" t="s">
        <v>166</v>
      </c>
      <c r="C58" s="11" t="n">
        <f aca="false">CF!E95</f>
        <v>380.07</v>
      </c>
      <c r="D58" s="11" t="n">
        <f aca="false">CF!F95</f>
        <v>391.4721</v>
      </c>
      <c r="E58" s="11" t="n">
        <f aca="false">CF!G95</f>
        <v>403.216263</v>
      </c>
      <c r="F58" s="11" t="n">
        <f aca="false">CF!H95</f>
        <v>415.31275089</v>
      </c>
      <c r="G58" s="11" t="n">
        <f aca="false">CF!I95</f>
        <v>427.7721334167</v>
      </c>
      <c r="H58" s="11" t="n">
        <f aca="false">CF!J95</f>
        <v>440.605297419201</v>
      </c>
      <c r="I58" s="11" t="n">
        <f aca="false">CF!K95</f>
        <v>453.823456341777</v>
      </c>
      <c r="J58" s="11" t="n">
        <f aca="false">CF!L95</f>
        <v>467.43816003203</v>
      </c>
      <c r="K58" s="11" t="n">
        <f aca="false">CF!M95</f>
        <v>481.461304832991</v>
      </c>
    </row>
    <row r="59" customFormat="false" ht="15" hidden="false" customHeight="false" outlineLevel="0" collapsed="false">
      <c r="A59" s="2" t="s">
        <v>767</v>
      </c>
      <c r="B59" s="0" t="s">
        <v>166</v>
      </c>
      <c r="C59" s="11" t="n">
        <f aca="false">-CF!E100</f>
        <v>-134.330606490236</v>
      </c>
      <c r="D59" s="11" t="n">
        <f aca="false">-CF!F100</f>
        <v>-144.624059235205</v>
      </c>
      <c r="E59" s="11" t="n">
        <f aca="false">-CF!G100</f>
        <v>-159.410795936593</v>
      </c>
      <c r="F59" s="11" t="n">
        <f aca="false">-CF!H100</f>
        <v>-179.792492441896</v>
      </c>
      <c r="G59" s="11" t="n">
        <f aca="false">-CF!I100</f>
        <v>-199.431774043859</v>
      </c>
      <c r="H59" s="11" t="n">
        <f aca="false">-CF!J100</f>
        <v>-218.778417860154</v>
      </c>
      <c r="I59" s="11" t="n">
        <f aca="false">-CF!K100</f>
        <v>-237.327374208344</v>
      </c>
      <c r="J59" s="11" t="n">
        <f aca="false">-CF!L100</f>
        <v>-254.547658202998</v>
      </c>
      <c r="K59" s="11" t="n">
        <f aca="false">-CF!M100</f>
        <v>-290.929815324965</v>
      </c>
    </row>
    <row r="60" customFormat="false" ht="15" hidden="false" customHeight="false" outlineLevel="0" collapsed="false">
      <c r="A60" s="2" t="s">
        <v>768</v>
      </c>
      <c r="B60" s="0" t="s">
        <v>166</v>
      </c>
      <c r="C60" s="11" t="n">
        <f aca="false">CF!E97+CF!E98</f>
        <v>-336.682731981946</v>
      </c>
      <c r="D60" s="11" t="n">
        <f aca="false">CF!F97+CF!F98</f>
        <v>58.4043212588481</v>
      </c>
      <c r="E60" s="11" t="n">
        <f aca="false">CF!G97+CF!G98</f>
        <v>8.2856786257433</v>
      </c>
      <c r="F60" s="11" t="n">
        <f aca="false">CF!H97+CF!H98</f>
        <v>-372.668356199761</v>
      </c>
      <c r="G60" s="11" t="n">
        <f aca="false">CF!I97+CF!I98</f>
        <v>-389.288659870412</v>
      </c>
      <c r="H60" s="11" t="n">
        <f aca="false">CF!J97+CF!J98</f>
        <v>-385.495361335612</v>
      </c>
      <c r="I60" s="11" t="n">
        <f aca="false">CF!K97+CF!K98</f>
        <v>-371.755423138433</v>
      </c>
      <c r="J60" s="11" t="n">
        <f aca="false">CF!L97+CF!L98</f>
        <v>-347.460300440867</v>
      </c>
      <c r="K60" s="11" t="n">
        <f aca="false">CF!M97+CF!M98</f>
        <v>-312.452924524718</v>
      </c>
    </row>
    <row r="61" customFormat="false" ht="15" hidden="false" customHeight="false" outlineLevel="0" collapsed="false">
      <c r="A61" s="2" t="s">
        <v>769</v>
      </c>
      <c r="B61" s="0" t="s">
        <v>166</v>
      </c>
      <c r="C61" s="11" t="n">
        <f aca="false">SUM(C56:C60)</f>
        <v>895.073991372419</v>
      </c>
      <c r="D61" s="11" t="n">
        <f aca="false">SUM(D56:D60)</f>
        <v>1642.77416322225</v>
      </c>
      <c r="E61" s="11" t="n">
        <f aca="false">SUM(E56:E60)</f>
        <v>1799.40099739388</v>
      </c>
      <c r="F61" s="11" t="n">
        <f aca="false">SUM(F56:F60)</f>
        <v>1869.09509207971</v>
      </c>
      <c r="G61" s="11" t="n">
        <f aca="false">SUM(G56:G60)</f>
        <v>2083.46050986941</v>
      </c>
      <c r="H61" s="11" t="n">
        <f aca="false">SUM(H56:H60)</f>
        <v>2308.72577884931</v>
      </c>
      <c r="I61" s="11" t="n">
        <f aca="false">SUM(I56:I60)</f>
        <v>2528.04110133617</v>
      </c>
      <c r="J61" s="11" t="n">
        <f aca="false">SUM(J56:J60)</f>
        <v>2735.57880565716</v>
      </c>
      <c r="K61" s="11" t="n">
        <f aca="false">SUM(K56:K60)</f>
        <v>2904.28560299986</v>
      </c>
    </row>
    <row r="62" customFormat="false" ht="15" hidden="false" customHeight="false" outlineLevel="0" collapsed="false">
      <c r="A62" s="2" t="s">
        <v>770</v>
      </c>
      <c r="B62" s="0" t="s">
        <v>387</v>
      </c>
      <c r="C62" s="23" t="n">
        <f aca="false">1/(1+$C$8)^1</f>
        <v>0.849576420758931</v>
      </c>
      <c r="D62" s="23" t="n">
        <f aca="false">1/(1+$C$8)^2</f>
        <v>0.721780094709556</v>
      </c>
      <c r="E62" s="23" t="n">
        <f aca="false">1/(1+$C$8)^3</f>
        <v>0.613207349438387</v>
      </c>
      <c r="F62" s="23" t="n">
        <f aca="false">1/(1+$C$8)^4</f>
        <v>0.520966505118936</v>
      </c>
      <c r="G62" s="23" t="n">
        <f aca="false">1/(1+$C$8)^5</f>
        <v>0.442600858754235</v>
      </c>
      <c r="H62" s="23" t="n">
        <f aca="false">1/(1+$C$8)^6</f>
        <v>0.376023253405252</v>
      </c>
      <c r="I62" s="23" t="n">
        <f aca="false">1/(1+$C$8)^7</f>
        <v>0.319460489750163</v>
      </c>
      <c r="J62" s="23" t="n">
        <f aca="false">1/(1+$C$8)^8</f>
        <v>0.271406099455838</v>
      </c>
      <c r="K62" s="23" t="n">
        <f aca="false">1/(1+$C$8)^9</f>
        <v>0.230580222547834</v>
      </c>
    </row>
    <row r="63" customFormat="false" ht="15" hidden="false" customHeight="false" outlineLevel="0" collapsed="false">
      <c r="A63" s="2" t="s">
        <v>771</v>
      </c>
      <c r="B63" s="0" t="s">
        <v>166</v>
      </c>
      <c r="C63" s="11" t="n">
        <f aca="false">C61*C62</f>
        <v>760.43375790459</v>
      </c>
      <c r="D63" s="11" t="n">
        <f aca="false">D61*D62</f>
        <v>1185.72169111696</v>
      </c>
      <c r="E63" s="11" t="n">
        <f aca="false">E61*E62</f>
        <v>1103.40591618869</v>
      </c>
      <c r="F63" s="11" t="n">
        <f aca="false">F61*F62</f>
        <v>973.73593785572</v>
      </c>
      <c r="G63" s="11" t="n">
        <f aca="false">G61*G62</f>
        <v>922.141410848738</v>
      </c>
      <c r="H63" s="11" t="n">
        <f aca="false">H61*H62</f>
        <v>868.134578583493</v>
      </c>
      <c r="I63" s="11" t="n">
        <f aca="false">I61*I62</f>
        <v>807.609248341393</v>
      </c>
      <c r="J63" s="11" t="n">
        <f aca="false">J61*J62</f>
        <v>742.452773397469</v>
      </c>
      <c r="K63" s="11" t="n">
        <f aca="false">K61*K62</f>
        <v>669.670820682177</v>
      </c>
    </row>
    <row r="64" customFormat="false" ht="15" hidden="false" customHeight="false" outlineLevel="0" collapsed="false">
      <c r="A64" s="2" t="s">
        <v>772</v>
      </c>
      <c r="B64" s="0" t="s">
        <v>166</v>
      </c>
      <c r="C64" s="11" t="n">
        <f aca="false">K61*(1+g_tv)/($C$8-g_tv)*K62</f>
        <v>4690.42782486282</v>
      </c>
    </row>
    <row r="65" customFormat="false" ht="17.15" hidden="false" customHeight="false" outlineLevel="0" collapsed="false">
      <c r="A65" s="0" t="s">
        <v>773</v>
      </c>
      <c r="B65" s="0" t="s">
        <v>166</v>
      </c>
      <c r="C65" s="11" t="n">
        <f aca="false">SUM(C63:K63)+C64</f>
        <v>12723.7339597821</v>
      </c>
    </row>
    <row r="66" customFormat="false" ht="17.15" hidden="false" customHeight="false" outlineLevel="0" collapsed="false">
      <c r="A66" s="2" t="s">
        <v>774</v>
      </c>
      <c r="B66" s="0" t="s">
        <v>47</v>
      </c>
      <c r="C66" s="15" t="n">
        <f aca="false">C64/C65</f>
        <v>0.36863611261353</v>
      </c>
    </row>
    <row r="67" customFormat="false" ht="17.15" hidden="false" customHeight="false" outlineLevel="0" collapsed="false">
      <c r="A67" s="2" t="s">
        <v>775</v>
      </c>
      <c r="B67" s="0" t="s">
        <v>387</v>
      </c>
      <c r="C67" s="16" t="n">
        <f aca="false">C64/K62/PL!M91</f>
        <v>4.90051921637592</v>
      </c>
    </row>
    <row r="68" customFormat="false" ht="17.15" hidden="false" customHeight="false" outlineLevel="0" collapsed="false">
      <c r="A68" s="2" t="s">
        <v>776</v>
      </c>
      <c r="B68" s="0" t="s">
        <v>25</v>
      </c>
      <c r="C68" s="14" t="n">
        <f aca="false">(C65-$C$9-$C$10)/sh_fx</f>
        <v>7.46648976023252</v>
      </c>
    </row>
    <row r="69" customFormat="false" ht="17.15" hidden="false" customHeight="false" outlineLevel="0" collapsed="false">
      <c r="A69" s="2" t="s">
        <v>777</v>
      </c>
      <c r="B69" s="0" t="s">
        <v>25</v>
      </c>
      <c r="C69" s="14" t="n">
        <f aca="false">(PL!E91*$C$12-$C$9-$C$10)/sh_fx</f>
        <v>17.01170974254</v>
      </c>
    </row>
    <row r="70" customFormat="false" ht="17.15" hidden="false" customHeight="false" outlineLevel="0" collapsed="false">
      <c r="A70" s="2" t="s">
        <v>778</v>
      </c>
      <c r="B70" s="0" t="s">
        <v>25</v>
      </c>
      <c r="C70" s="14" t="n">
        <f aca="false">w_dcf*C68+(1-w_dcf)*C69</f>
        <v>12.2390997513863</v>
      </c>
    </row>
    <row r="71" customFormat="false" ht="17.15" hidden="false" customHeight="false" outlineLevel="0" collapsed="false">
      <c r="A71" s="2" t="s">
        <v>779</v>
      </c>
      <c r="B71" s="0" t="s">
        <v>166</v>
      </c>
      <c r="C71" s="11" t="n">
        <f aca="false">-$C$13</f>
        <v>-76425.73</v>
      </c>
      <c r="D71" s="11" t="n">
        <f aca="false">C61</f>
        <v>895.073991372419</v>
      </c>
      <c r="E71" s="11" t="n">
        <f aca="false">D61</f>
        <v>1642.77416322225</v>
      </c>
      <c r="F71" s="11" t="n">
        <f aca="false">E61</f>
        <v>1799.40099739388</v>
      </c>
      <c r="G71" s="11" t="n">
        <f aca="false">F61</f>
        <v>1869.09509207971</v>
      </c>
      <c r="H71" s="11" t="n">
        <f aca="false">G61</f>
        <v>2083.46050986941</v>
      </c>
      <c r="I71" s="11" t="n">
        <f aca="false">H61</f>
        <v>2308.72577884931</v>
      </c>
      <c r="J71" s="11" t="n">
        <f aca="false">I61</f>
        <v>2528.04110133617</v>
      </c>
      <c r="K71" s="11" t="n">
        <f aca="false">J61</f>
        <v>2735.57880565716</v>
      </c>
      <c r="L71" s="11" t="n">
        <f aca="false">K61+PL!M91*$C$12</f>
        <v>73761.1334166729</v>
      </c>
    </row>
    <row r="72" customFormat="false" ht="17.15" hidden="false" customHeight="false" outlineLevel="0" collapsed="false">
      <c r="A72" s="2" t="s">
        <v>780</v>
      </c>
      <c r="B72" s="0" t="s">
        <v>47</v>
      </c>
      <c r="C72" s="10" t="n">
        <f aca="false">IRR(C71:L71)</f>
        <v>0.0194258226259743</v>
      </c>
    </row>
    <row r="74" customFormat="false" ht="17.15" hidden="false" customHeight="false" outlineLevel="0" collapsed="false">
      <c r="A74" s="4" t="s">
        <v>781</v>
      </c>
      <c r="B74" s="4" t="s">
        <v>15</v>
      </c>
      <c r="C74" s="4" t="s">
        <v>627</v>
      </c>
      <c r="D74" s="4" t="s">
        <v>628</v>
      </c>
      <c r="E74" s="4" t="s">
        <v>629</v>
      </c>
    </row>
    <row r="75" customFormat="false" ht="17.15" hidden="false" customHeight="false" outlineLevel="0" collapsed="false">
      <c r="A75" s="2" t="s">
        <v>776</v>
      </c>
      <c r="B75" s="0" t="s">
        <v>25</v>
      </c>
      <c r="C75" s="14" t="n">
        <f aca="false">C30</f>
        <v>39.1854365689408</v>
      </c>
      <c r="D75" s="14" t="n">
        <f aca="false">C49</f>
        <v>23.6277452313079</v>
      </c>
      <c r="E75" s="14" t="n">
        <f aca="false">C68</f>
        <v>7.46648976023252</v>
      </c>
    </row>
    <row r="76" customFormat="false" ht="15" hidden="false" customHeight="false" outlineLevel="0" collapsed="false">
      <c r="A76" s="2" t="s">
        <v>782</v>
      </c>
      <c r="B76" s="0" t="s">
        <v>25</v>
      </c>
      <c r="C76" s="14" t="n">
        <f aca="false">C31</f>
        <v>64.5773144516523</v>
      </c>
      <c r="D76" s="14" t="n">
        <f aca="false">C50</f>
        <v>54.6726905651198</v>
      </c>
      <c r="E76" s="14" t="n">
        <f aca="false">C69</f>
        <v>17.01170974254</v>
      </c>
    </row>
    <row r="77" customFormat="false" ht="15" hidden="false" customHeight="false" outlineLevel="0" collapsed="false">
      <c r="A77" s="2" t="s">
        <v>783</v>
      </c>
      <c r="B77" s="0" t="s">
        <v>25</v>
      </c>
      <c r="C77" s="14" t="n">
        <f aca="false">C32</f>
        <v>51.8813755102965</v>
      </c>
      <c r="D77" s="14" t="n">
        <f aca="false">C51</f>
        <v>39.1502178982139</v>
      </c>
      <c r="E77" s="14" t="n">
        <f aca="false">C70</f>
        <v>12.2390997513863</v>
      </c>
    </row>
    <row r="78" customFormat="false" ht="17.15" hidden="false" customHeight="false" outlineLevel="0" collapsed="false">
      <c r="A78" s="2" t="s">
        <v>774</v>
      </c>
      <c r="B78" s="0" t="s">
        <v>47</v>
      </c>
      <c r="C78" s="15" t="n">
        <f aca="false">C28</f>
        <v>0.412839486709504</v>
      </c>
      <c r="D78" s="15" t="n">
        <f aca="false">C47</f>
        <v>0.389981522239059</v>
      </c>
      <c r="E78" s="15" t="n">
        <f aca="false">C66</f>
        <v>0.36863611261353</v>
      </c>
    </row>
    <row r="79" customFormat="false" ht="17.15" hidden="false" customHeight="false" outlineLevel="0" collapsed="false">
      <c r="A79" s="2" t="s">
        <v>784</v>
      </c>
      <c r="B79" s="0" t="s">
        <v>387</v>
      </c>
      <c r="C79" s="16" t="n">
        <f aca="false">C29</f>
        <v>5.38710927146352</v>
      </c>
      <c r="D79" s="16" t="n">
        <f aca="false">C48</f>
        <v>4.95446510593583</v>
      </c>
      <c r="E79" s="16" t="n">
        <f aca="false">C67</f>
        <v>4.90051921637592</v>
      </c>
    </row>
    <row r="80" customFormat="false" ht="17.15" hidden="false" customHeight="false" outlineLevel="0" collapsed="false">
      <c r="A80" s="2" t="s">
        <v>785</v>
      </c>
      <c r="B80" s="0" t="s">
        <v>47</v>
      </c>
      <c r="C80" s="10" t="n">
        <f aca="false">C34</f>
        <v>0.205423265763104</v>
      </c>
      <c r="D80" s="10" t="n">
        <f aca="false">C53</f>
        <v>0.141975046438624</v>
      </c>
      <c r="E80" s="10" t="n">
        <f aca="false">C72</f>
        <v>0.0194258226259743</v>
      </c>
    </row>
    <row r="81" customFormat="false" ht="15" hidden="false" customHeight="false" outlineLevel="0" collapsed="false">
      <c r="A81" s="2" t="s">
        <v>786</v>
      </c>
      <c r="B81" s="0" t="s">
        <v>47</v>
      </c>
      <c r="C81" s="15" t="n">
        <f aca="false">p_A</f>
        <v>0.25</v>
      </c>
      <c r="D81" s="15" t="n">
        <f aca="false">p_B</f>
        <v>0.5</v>
      </c>
      <c r="E81" s="15" t="n">
        <f aca="false">p_C</f>
        <v>0.25</v>
      </c>
    </row>
    <row r="82" customFormat="false" ht="17.15" hidden="false" customHeight="false" outlineLevel="0" collapsed="false">
      <c r="A82" s="2" t="s">
        <v>787</v>
      </c>
      <c r="B82" s="0" t="s">
        <v>47</v>
      </c>
      <c r="C82" s="10" t="n">
        <f aca="false">SUMPRODUCT(C80:E80,C81:E81)</f>
        <v>0.127199795316582</v>
      </c>
    </row>
    <row r="84" customFormat="false" ht="15" hidden="false" customHeight="false" outlineLevel="0" collapsed="false">
      <c r="A84" s="4" t="s">
        <v>788</v>
      </c>
      <c r="B84" s="4" t="s">
        <v>15</v>
      </c>
      <c r="C84" s="4" t="s">
        <v>750</v>
      </c>
      <c r="D84" s="4"/>
      <c r="E84" s="4" t="s">
        <v>751</v>
      </c>
    </row>
    <row r="85" customFormat="false" ht="17.15" hidden="false" customHeight="false" outlineLevel="0" collapsed="false">
      <c r="A85" s="2" t="s">
        <v>789</v>
      </c>
      <c r="B85" s="0" t="s">
        <v>25</v>
      </c>
      <c r="C85" s="14" t="n">
        <f aca="false">SUMPRODUCT(C77:E77,C81:E81)</f>
        <v>35.6052277645276</v>
      </c>
      <c r="E85" s="2" t="s">
        <v>790</v>
      </c>
    </row>
    <row r="86" customFormat="false" ht="17.15" hidden="false" customHeight="false" outlineLevel="0" collapsed="false">
      <c r="A86" s="2" t="s">
        <v>24</v>
      </c>
      <c r="B86" s="0" t="s">
        <v>25</v>
      </c>
      <c r="C86" s="14" t="n">
        <f aca="false">px</f>
        <v>63.99</v>
      </c>
    </row>
    <row r="87" customFormat="false" ht="17.15" hidden="false" customHeight="false" outlineLevel="0" collapsed="false">
      <c r="A87" s="2" t="s">
        <v>791</v>
      </c>
      <c r="B87" s="0" t="s">
        <v>47</v>
      </c>
      <c r="C87" s="24" t="n">
        <f aca="false">C85/C86-1</f>
        <v>-0.44358137576922</v>
      </c>
    </row>
    <row r="88" customFormat="false" ht="17.15" hidden="false" customHeight="false" outlineLevel="0" collapsed="false">
      <c r="A88" s="2" t="s">
        <v>792</v>
      </c>
      <c r="B88" s="0" t="s">
        <v>25</v>
      </c>
      <c r="C88" s="14" t="n">
        <f aca="false">SUMPRODUCT(C75:E75,C81:E81)</f>
        <v>23.4768541979473</v>
      </c>
    </row>
    <row r="89" customFormat="false" ht="15" hidden="false" customHeight="false" outlineLevel="0" collapsed="false">
      <c r="A89" s="2" t="s">
        <v>793</v>
      </c>
      <c r="B89" s="0" t="s">
        <v>25</v>
      </c>
      <c r="C89" s="14" t="n">
        <f aca="false">SUMPRODUCT(C76:E76,C81:E81)</f>
        <v>47.733601331108</v>
      </c>
    </row>
    <row r="90" customFormat="false" ht="15" hidden="false" customHeight="false" outlineLevel="0" collapsed="false">
      <c r="A90" s="2" t="s">
        <v>794</v>
      </c>
      <c r="B90" s="0" t="s">
        <v>25</v>
      </c>
      <c r="C90" s="14" t="n">
        <f aca="false">an_tgt</f>
        <v>82</v>
      </c>
      <c r="E90" s="7" t="s">
        <v>795</v>
      </c>
    </row>
    <row r="91" customFormat="false" ht="17.15" hidden="false" customHeight="false" outlineLevel="0" collapsed="false">
      <c r="A91" s="2" t="s">
        <v>796</v>
      </c>
      <c r="B91" s="0" t="s">
        <v>166</v>
      </c>
      <c r="C91" s="11" t="n">
        <f aca="false">C13*(1+C8)^4/C12</f>
        <v>8594.01827356839</v>
      </c>
    </row>
    <row r="92" customFormat="false" ht="17.15" hidden="false" customHeight="false" outlineLevel="0" collapsed="false">
      <c r="A92" s="2" t="s">
        <v>797</v>
      </c>
      <c r="B92" s="0" t="s">
        <v>166</v>
      </c>
      <c r="C92" s="11" t="n">
        <f aca="false">PL!H62</f>
        <v>6411.57541419161</v>
      </c>
    </row>
    <row r="93" customFormat="false" ht="17.15" hidden="false" customHeight="false" outlineLevel="0" collapsed="false">
      <c r="A93" s="2" t="s">
        <v>798</v>
      </c>
      <c r="B93" s="2" t="s">
        <v>37</v>
      </c>
      <c r="C93" s="11" t="n">
        <f aca="false">C91/(C92/Thesis!H34)</f>
        <v>2180558.55566954</v>
      </c>
    </row>
    <row r="94" customFormat="false" ht="17.15" hidden="false" customHeight="false" outlineLevel="0" collapsed="false">
      <c r="A94" s="2" t="s">
        <v>799</v>
      </c>
      <c r="B94" s="0" t="s">
        <v>50</v>
      </c>
      <c r="C94" s="25" t="str">
        <f aca="false">IF(C87&gt;=0.5,"強力買進",IF(C87&gt;=0.25,"買進",IF(C87&gt;-0.25,"中立",IF(C87&gt;-0.5,"放空","強力放空"))))</f>
        <v>放空</v>
      </c>
      <c r="E94" s="2" t="s"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15" hidden="false" customHeight="false" outlineLevel="0" collapsed="false">
      <c r="A1" s="0" t="s">
        <v>801</v>
      </c>
    </row>
    <row r="3" customFormat="false" ht="17.15" hidden="false" customHeight="false" outlineLevel="0" collapsed="false">
      <c r="A3" s="4" t="s">
        <v>14</v>
      </c>
      <c r="B3" s="4" t="s">
        <v>15</v>
      </c>
      <c r="C3" s="4" t="s">
        <v>802</v>
      </c>
      <c r="D3" s="4" t="s">
        <v>803</v>
      </c>
      <c r="E3" s="4" t="s">
        <v>804</v>
      </c>
      <c r="F3" s="4" t="s">
        <v>805</v>
      </c>
      <c r="G3" s="4" t="s">
        <v>19</v>
      </c>
      <c r="H3" s="4" t="s">
        <v>751</v>
      </c>
    </row>
    <row r="4" customFormat="false" ht="17.15" hidden="false" customHeight="false" outlineLevel="0" collapsed="false">
      <c r="A4" s="0" t="s">
        <v>806</v>
      </c>
      <c r="B4" s="0" t="s">
        <v>166</v>
      </c>
      <c r="C4" s="11" t="n">
        <f aca="false">PL!D62</f>
        <v>2952.2070528</v>
      </c>
      <c r="D4" s="11" t="n">
        <f aca="false">(guide_lo+guide_hi)/2+75</f>
        <v>2925</v>
      </c>
      <c r="E4" s="11" t="n">
        <f aca="false">C4-D4</f>
        <v>27.2070527999995</v>
      </c>
      <c r="F4" s="7" t="s">
        <v>444</v>
      </c>
      <c r="G4" s="7" t="s">
        <v>26</v>
      </c>
      <c r="H4" s="2" t="s">
        <v>807</v>
      </c>
    </row>
    <row r="5" customFormat="false" ht="17.15" hidden="false" customHeight="false" outlineLevel="0" collapsed="false">
      <c r="A5" s="0" t="s">
        <v>808</v>
      </c>
      <c r="B5" s="0" t="s">
        <v>166</v>
      </c>
      <c r="C5" s="11" t="n">
        <f aca="false">PL!D62</f>
        <v>2952.2070528</v>
      </c>
      <c r="D5" s="17" t="n">
        <v>2950</v>
      </c>
      <c r="E5" s="11" t="n">
        <f aca="false">C5-D5</f>
        <v>2.20705279999947</v>
      </c>
      <c r="F5" s="7" t="s">
        <v>809</v>
      </c>
      <c r="G5" s="7" t="s">
        <v>26</v>
      </c>
      <c r="H5" s="7" t="s">
        <v>50</v>
      </c>
    </row>
    <row r="6" customFormat="false" ht="17.15" hidden="false" customHeight="false" outlineLevel="0" collapsed="false">
      <c r="A6" s="0" t="s">
        <v>810</v>
      </c>
      <c r="B6" s="2" t="s">
        <v>37</v>
      </c>
      <c r="C6" s="11" t="n">
        <f aca="false">Q!J4</f>
        <v>217385</v>
      </c>
      <c r="D6" s="11" t="n">
        <f aca="false">cons_q3_units</f>
        <v>210299</v>
      </c>
      <c r="E6" s="11" t="n">
        <f aca="false">C6-D6</f>
        <v>7086</v>
      </c>
      <c r="F6" s="7" t="s">
        <v>811</v>
      </c>
      <c r="G6" s="7" t="s">
        <v>26</v>
      </c>
      <c r="H6" s="2" t="s">
        <v>812</v>
      </c>
    </row>
    <row r="7" customFormat="false" ht="17.15" hidden="false" customHeight="false" outlineLevel="0" collapsed="false">
      <c r="A7" s="0" t="s">
        <v>813</v>
      </c>
      <c r="B7" s="0" t="s">
        <v>166</v>
      </c>
      <c r="C7" s="11" t="n">
        <f aca="false">Q!J9</f>
        <v>8040</v>
      </c>
      <c r="D7" s="11" t="n">
        <f aca="false">cons_q3_rev</f>
        <v>7670</v>
      </c>
      <c r="E7" s="11" t="n">
        <f aca="false">C7-D7</f>
        <v>370</v>
      </c>
      <c r="F7" s="7" t="s">
        <v>811</v>
      </c>
      <c r="G7" s="7" t="s">
        <v>26</v>
      </c>
      <c r="H7" s="7" t="s">
        <v>50</v>
      </c>
    </row>
    <row r="8" customFormat="false" ht="17.15" hidden="false" customHeight="false" outlineLevel="0" collapsed="false">
      <c r="A8" s="0" t="s">
        <v>814</v>
      </c>
      <c r="B8" s="0" t="s">
        <v>166</v>
      </c>
      <c r="C8" s="11" t="n">
        <f aca="false">Q!J19</f>
        <v>800</v>
      </c>
      <c r="D8" s="11" t="n">
        <f aca="false">cons_q3_ebitda</f>
        <v>791.3</v>
      </c>
      <c r="E8" s="11" t="n">
        <f aca="false">C8-D8</f>
        <v>8.70000000000005</v>
      </c>
      <c r="F8" s="7" t="s">
        <v>456</v>
      </c>
      <c r="G8" s="7" t="s">
        <v>26</v>
      </c>
      <c r="H8" s="7" t="s">
        <v>50</v>
      </c>
    </row>
    <row r="9" customFormat="false" ht="17.15" hidden="false" customHeight="false" outlineLevel="0" collapsed="false">
      <c r="A9" s="0" t="s">
        <v>815</v>
      </c>
      <c r="B9" s="0" t="s">
        <v>25</v>
      </c>
      <c r="C9" s="14" t="n">
        <f aca="false">Q!J10*1000000/Q!J4</f>
        <v>3555.90312119051</v>
      </c>
      <c r="D9" s="14" t="n">
        <f aca="false">cons_q3_gpr</f>
        <v>3404</v>
      </c>
      <c r="E9" s="14" t="n">
        <f aca="false">C9-D9</f>
        <v>151.903121190514</v>
      </c>
      <c r="F9" s="7" t="s">
        <v>459</v>
      </c>
      <c r="G9" s="7" t="s">
        <v>26</v>
      </c>
      <c r="H9" s="7" t="s">
        <v>50</v>
      </c>
    </row>
    <row r="10" customFormat="false" ht="17.15" hidden="false" customHeight="false" outlineLevel="0" collapsed="false">
      <c r="A10" s="0" t="s">
        <v>816</v>
      </c>
      <c r="B10" s="0" t="s">
        <v>25</v>
      </c>
      <c r="C10" s="14" t="n">
        <f aca="false">Q!J8*1000000/Q!J4</f>
        <v>2732.47924189802</v>
      </c>
      <c r="D10" s="14" t="n">
        <f aca="false">cons_q3_gpo</f>
        <v>2722</v>
      </c>
      <c r="E10" s="14" t="n">
        <f aca="false">C10-D10</f>
        <v>10.4792418980151</v>
      </c>
      <c r="F10" s="7" t="s">
        <v>459</v>
      </c>
      <c r="G10" s="7" t="s">
        <v>26</v>
      </c>
      <c r="H10" s="2" t="s">
        <v>817</v>
      </c>
    </row>
    <row r="11" customFormat="false" ht="17.15" hidden="false" customHeight="false" outlineLevel="0" collapsed="false">
      <c r="A11" s="0" t="s">
        <v>818</v>
      </c>
      <c r="B11" s="0" t="s">
        <v>25</v>
      </c>
      <c r="C11" s="14" t="n">
        <f aca="false">Q!J11*1000000/Q!J4</f>
        <v>708.420544195782</v>
      </c>
      <c r="D11" s="14" t="n">
        <f aca="false">cons_q3_gpw</f>
        <v>812</v>
      </c>
      <c r="E11" s="14" t="n">
        <f aca="false">C11-D11</f>
        <v>-103.579455804218</v>
      </c>
      <c r="F11" s="7" t="s">
        <v>459</v>
      </c>
      <c r="G11" s="7" t="s">
        <v>26</v>
      </c>
      <c r="H11" s="7" t="s">
        <v>50</v>
      </c>
    </row>
    <row r="12" customFormat="false" ht="17.15" hidden="false" customHeight="false" outlineLevel="0" collapsed="false">
      <c r="A12" s="2" t="s">
        <v>819</v>
      </c>
      <c r="B12" s="0" t="s">
        <v>47</v>
      </c>
      <c r="C12" s="10" t="n">
        <f aca="false">PL!H51</f>
        <v>0.0938215813067613</v>
      </c>
      <c r="D12" s="10" t="n">
        <f aca="false">om_tgt</f>
        <v>0.125</v>
      </c>
      <c r="E12" s="10" t="n">
        <f aca="false">C12-D12</f>
        <v>-0.0311784186932387</v>
      </c>
      <c r="F12" s="7" t="s">
        <v>339</v>
      </c>
      <c r="G12" s="7" t="s">
        <v>26</v>
      </c>
      <c r="H12" s="2" t="s">
        <v>820</v>
      </c>
    </row>
    <row r="13" customFormat="false" ht="17.15" hidden="false" customHeight="false" outlineLevel="0" collapsed="false">
      <c r="A13" s="2" t="s">
        <v>821</v>
      </c>
      <c r="B13" s="0" t="s">
        <v>387</v>
      </c>
      <c r="C13" s="14" t="n">
        <f aca="false">Credit!D29</f>
        <v>1.78701023606099</v>
      </c>
      <c r="D13" s="14" t="n">
        <f aca="false">ttm_lev</f>
        <v>1.89970930232558</v>
      </c>
      <c r="E13" s="14" t="n">
        <f aca="false">C13-D13</f>
        <v>-0.112699066264589</v>
      </c>
      <c r="F13" s="7" t="s">
        <v>822</v>
      </c>
      <c r="G13" s="7" t="s">
        <v>38</v>
      </c>
      <c r="H13" s="7" t="s">
        <v>50</v>
      </c>
    </row>
    <row r="14" customFormat="false" ht="17.15" hidden="false" customHeight="false" outlineLevel="0" collapsed="false">
      <c r="A14" s="2" t="s">
        <v>823</v>
      </c>
      <c r="B14" s="0" t="s">
        <v>387</v>
      </c>
      <c r="C14" s="14" t="n">
        <f aca="false">Credit!D30</f>
        <v>0.481463134719526</v>
      </c>
      <c r="D14" s="14" t="n">
        <f aca="false">ttm_nlev</f>
        <v>0.791787790697675</v>
      </c>
      <c r="E14" s="14" t="n">
        <f aca="false">C14-D14</f>
        <v>-0.310324655978149</v>
      </c>
      <c r="F14" s="7" t="s">
        <v>824</v>
      </c>
      <c r="G14" s="7" t="s">
        <v>38</v>
      </c>
      <c r="H14" s="7" t="s">
        <v>50</v>
      </c>
    </row>
    <row r="15" customFormat="false" ht="17.15" hidden="false" customHeight="false" outlineLevel="0" collapsed="false">
      <c r="A15" s="2" t="s">
        <v>825</v>
      </c>
      <c r="B15" s="0" t="s">
        <v>387</v>
      </c>
      <c r="C15" s="14" t="n">
        <f aca="false">Credit!D33</f>
        <v>6.95735723261217</v>
      </c>
      <c r="D15" s="14" t="n">
        <f aca="false">moody_cov</f>
        <v>3</v>
      </c>
      <c r="E15" s="14" t="n">
        <f aca="false">C15-D15</f>
        <v>3.95735723261217</v>
      </c>
      <c r="F15" s="7" t="s">
        <v>826</v>
      </c>
      <c r="G15" s="7" t="s">
        <v>26</v>
      </c>
      <c r="H15" s="7" t="s">
        <v>827</v>
      </c>
    </row>
    <row r="16" customFormat="false" ht="17.15" hidden="false" customHeight="false" outlineLevel="0" collapsed="false">
      <c r="A16" s="2" t="s">
        <v>828</v>
      </c>
      <c r="B16" s="0" t="s">
        <v>47</v>
      </c>
      <c r="C16" s="10" t="n">
        <f aca="false">ttm_gosrp</f>
        <v>0.675145348837209</v>
      </c>
      <c r="D16" s="26" t="n">
        <v>0.75</v>
      </c>
      <c r="E16" s="10" t="n">
        <f aca="false">C16-D16</f>
        <v>-0.0748546511627907</v>
      </c>
      <c r="F16" s="7" t="s">
        <v>829</v>
      </c>
      <c r="G16" s="7" t="s">
        <v>26</v>
      </c>
      <c r="H16" s="2" t="s">
        <v>830</v>
      </c>
    </row>
    <row r="17" customFormat="false" ht="17.15" hidden="false" customHeight="false" outlineLevel="0" collapsed="false">
      <c r="A17" s="2" t="s">
        <v>831</v>
      </c>
      <c r="B17" s="0" t="s">
        <v>25</v>
      </c>
      <c r="C17" s="14" t="n">
        <f aca="false">v_tp_w</f>
        <v>35.6052277645276</v>
      </c>
      <c r="D17" s="14" t="n">
        <f aca="false">an_tgt</f>
        <v>82</v>
      </c>
      <c r="E17" s="14" t="n">
        <f aca="false">C17-D17</f>
        <v>-46.3947722354724</v>
      </c>
      <c r="F17" s="7" t="s">
        <v>832</v>
      </c>
      <c r="G17" s="7" t="s">
        <v>26</v>
      </c>
      <c r="H17" s="7" t="s">
        <v>50</v>
      </c>
    </row>
    <row r="18" customFormat="false" ht="17.15" hidden="false" customHeight="false" outlineLevel="0" collapsed="false">
      <c r="A18" s="2" t="s">
        <v>833</v>
      </c>
      <c r="B18" s="0" t="s">
        <v>387</v>
      </c>
      <c r="C18" s="14" t="n">
        <f aca="false">Val!C14</f>
        <v>27.7709774709302</v>
      </c>
      <c r="D18" s="14" t="n">
        <f aca="false">Val!C11</f>
        <v>11.38</v>
      </c>
      <c r="E18" s="14" t="n">
        <f aca="false">C18-D18</f>
        <v>16.3909774709302</v>
      </c>
      <c r="F18" s="7" t="s">
        <v>834</v>
      </c>
      <c r="G18" s="7" t="s">
        <v>227</v>
      </c>
      <c r="H18" s="7" t="s">
        <v>50</v>
      </c>
    </row>
    <row r="20" customFormat="false" ht="17.15" hidden="false" customHeight="false" outlineLevel="0" collapsed="false">
      <c r="A20" s="2" t="s">
        <v>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0" t="s">
        <v>836</v>
      </c>
    </row>
    <row r="3" customFormat="false" ht="17.15" hidden="false" customHeight="false" outlineLevel="0" collapsed="false">
      <c r="A3" s="4" t="s">
        <v>837</v>
      </c>
      <c r="B3" s="4" t="s">
        <v>13</v>
      </c>
      <c r="C3" s="4" t="s">
        <v>838</v>
      </c>
      <c r="D3" s="4" t="s">
        <v>839</v>
      </c>
      <c r="E3" s="4" t="s">
        <v>840</v>
      </c>
      <c r="F3" s="4" t="s">
        <v>841</v>
      </c>
      <c r="G3" s="4" t="s">
        <v>842</v>
      </c>
      <c r="H3" s="4" t="s">
        <v>843</v>
      </c>
      <c r="I3" s="4" t="s">
        <v>844</v>
      </c>
      <c r="J3" s="4" t="s">
        <v>845</v>
      </c>
      <c r="K3" s="4" t="s">
        <v>846</v>
      </c>
    </row>
    <row r="4" customFormat="false" ht="17.15" hidden="false" customHeight="false" outlineLevel="0" collapsed="false">
      <c r="A4" s="0" t="s">
        <v>46</v>
      </c>
      <c r="B4" s="0" t="s">
        <v>45</v>
      </c>
      <c r="C4" s="0" t="n">
        <v>0</v>
      </c>
      <c r="D4" s="0" t="n">
        <v>0.05</v>
      </c>
      <c r="E4" s="14" t="n">
        <v>35.6052277645276</v>
      </c>
      <c r="F4" s="24" t="n">
        <v>-0.0059330890506325</v>
      </c>
      <c r="G4" s="24" t="n">
        <v>0.0088995090700188</v>
      </c>
      <c r="H4" s="14" t="n">
        <v>1.39657841543844</v>
      </c>
      <c r="I4" s="14" t="n">
        <v>1.37675915232133</v>
      </c>
      <c r="J4" s="11" t="n">
        <v>5895.57203865418</v>
      </c>
      <c r="K4" s="11" t="n">
        <v>6024.58897402808</v>
      </c>
    </row>
    <row r="5" customFormat="false" ht="17.15" hidden="false" customHeight="false" outlineLevel="0" collapsed="false">
      <c r="A5" s="2" t="s">
        <v>62</v>
      </c>
      <c r="B5" s="0" t="s">
        <v>61</v>
      </c>
      <c r="C5" s="0" t="n">
        <v>0.17</v>
      </c>
      <c r="D5" s="0" t="n">
        <v>0.33</v>
      </c>
      <c r="E5" s="14" t="n">
        <v>35.6052277645276</v>
      </c>
      <c r="F5" s="24" t="n">
        <v>-0.0404277366798695</v>
      </c>
      <c r="G5" s="24" t="n">
        <v>0.0404137758933922</v>
      </c>
      <c r="H5" s="14" t="n">
        <v>1.48131873942246</v>
      </c>
      <c r="I5" s="14" t="n">
        <v>1.30792258935117</v>
      </c>
      <c r="J5" s="11" t="n">
        <v>5947.17881280374</v>
      </c>
      <c r="K5" s="11" t="n">
        <v>5947.17881280374</v>
      </c>
    </row>
    <row r="6" customFormat="false" ht="17.15" hidden="false" customHeight="false" outlineLevel="0" collapsed="false">
      <c r="A6" s="2" t="s">
        <v>65</v>
      </c>
      <c r="B6" s="0" t="s">
        <v>64</v>
      </c>
      <c r="C6" s="0" t="n">
        <v>0.12</v>
      </c>
      <c r="D6" s="0" t="n">
        <v>0.28</v>
      </c>
      <c r="E6" s="14" t="n">
        <v>35.6052277645276</v>
      </c>
      <c r="F6" s="24" t="n">
        <v>-0.0159002708773688</v>
      </c>
      <c r="G6" s="24" t="n">
        <v>0.0165665993392987</v>
      </c>
      <c r="H6" s="14" t="n">
        <v>1.38858159209526</v>
      </c>
      <c r="I6" s="14" t="n">
        <v>1.38858159209526</v>
      </c>
      <c r="J6" s="11" t="n">
        <v>5947.17881280374</v>
      </c>
      <c r="K6" s="11" t="n">
        <v>5947.17881280374</v>
      </c>
    </row>
    <row r="7" customFormat="false" ht="17.15" hidden="false" customHeight="false" outlineLevel="0" collapsed="false">
      <c r="A7" s="2" t="s">
        <v>67</v>
      </c>
      <c r="B7" s="0" t="s">
        <v>66</v>
      </c>
      <c r="C7" s="0" t="n">
        <v>0.08</v>
      </c>
      <c r="D7" s="0" t="n">
        <v>0.18</v>
      </c>
      <c r="E7" s="14" t="n">
        <v>35.6052277645276</v>
      </c>
      <c r="F7" s="24" t="n">
        <v>-0.0179322532628256</v>
      </c>
      <c r="G7" s="24" t="n">
        <v>0.0200406791053867</v>
      </c>
      <c r="H7" s="14" t="n">
        <v>1.38858159209526</v>
      </c>
      <c r="I7" s="14" t="n">
        <v>1.38858159209526</v>
      </c>
      <c r="J7" s="11" t="n">
        <v>5947.17881280374</v>
      </c>
      <c r="K7" s="11" t="n">
        <v>5947.17881280374</v>
      </c>
    </row>
    <row r="8" customFormat="false" ht="17.15" hidden="false" customHeight="false" outlineLevel="0" collapsed="false">
      <c r="A8" s="2" t="s">
        <v>69</v>
      </c>
      <c r="B8" s="0" t="s">
        <v>68</v>
      </c>
      <c r="C8" s="0" t="n">
        <v>0.02</v>
      </c>
      <c r="D8" s="0" t="n">
        <v>0.08</v>
      </c>
      <c r="E8" s="14" t="n">
        <v>35.6052277645276</v>
      </c>
      <c r="F8" s="24" t="n">
        <v>-0.00406624133177247</v>
      </c>
      <c r="G8" s="24" t="n">
        <v>0.00408624428568172</v>
      </c>
      <c r="H8" s="14" t="n">
        <v>1.38858159209526</v>
      </c>
      <c r="I8" s="14" t="n">
        <v>1.38858159209526</v>
      </c>
      <c r="J8" s="11" t="n">
        <v>5947.17881280374</v>
      </c>
      <c r="K8" s="11" t="n">
        <v>5947.17881280374</v>
      </c>
    </row>
    <row r="9" customFormat="false" ht="17.15" hidden="false" customHeight="false" outlineLevel="0" collapsed="false">
      <c r="A9" s="2" t="s">
        <v>117</v>
      </c>
      <c r="B9" s="0" t="s">
        <v>116</v>
      </c>
      <c r="C9" s="0" t="n">
        <v>3150</v>
      </c>
      <c r="D9" s="0" t="n">
        <v>3750</v>
      </c>
      <c r="E9" s="14" t="n">
        <v>35.6052277645276</v>
      </c>
      <c r="F9" s="24" t="n">
        <v>-0.0360364358108333</v>
      </c>
      <c r="G9" s="24" t="n">
        <v>0.0360364358108363</v>
      </c>
      <c r="H9" s="14" t="n">
        <v>1.50961071348118</v>
      </c>
      <c r="I9" s="14" t="n">
        <v>1.28548135256486</v>
      </c>
      <c r="J9" s="11" t="n">
        <v>5947.17881280374</v>
      </c>
      <c r="K9" s="11" t="n">
        <v>5947.17881280374</v>
      </c>
    </row>
    <row r="10" customFormat="false" ht="17.15" hidden="false" customHeight="false" outlineLevel="0" collapsed="false">
      <c r="A10" s="2" t="s">
        <v>120</v>
      </c>
      <c r="B10" s="0" t="s">
        <v>119</v>
      </c>
      <c r="C10" s="0" t="n">
        <v>3050</v>
      </c>
      <c r="D10" s="0" t="n">
        <v>3650</v>
      </c>
      <c r="E10" s="14" t="n">
        <v>35.6052277645276</v>
      </c>
      <c r="F10" s="24" t="n">
        <v>-0.0142589960399073</v>
      </c>
      <c r="G10" s="24" t="n">
        <v>0.0142589960399104</v>
      </c>
      <c r="H10" s="14" t="n">
        <v>1.38858159209526</v>
      </c>
      <c r="I10" s="14" t="n">
        <v>1.38858159209526</v>
      </c>
      <c r="J10" s="11" t="n">
        <v>5947.17881280374</v>
      </c>
      <c r="K10" s="11" t="n">
        <v>5947.17881280374</v>
      </c>
    </row>
    <row r="11" customFormat="false" ht="17.15" hidden="false" customHeight="false" outlineLevel="0" collapsed="false">
      <c r="A11" s="2" t="s">
        <v>148</v>
      </c>
      <c r="B11" s="0" t="s">
        <v>147</v>
      </c>
      <c r="C11" s="0" t="n">
        <v>0.062</v>
      </c>
      <c r="D11" s="0" t="n">
        <v>0.082</v>
      </c>
      <c r="E11" s="14" t="n">
        <v>35.6052277645276</v>
      </c>
      <c r="F11" s="24" t="n">
        <v>-0.039285877650842</v>
      </c>
      <c r="G11" s="24" t="n">
        <v>0.0392858776508449</v>
      </c>
      <c r="H11" s="14" t="n">
        <v>1.48398106060049</v>
      </c>
      <c r="I11" s="14" t="n">
        <v>1.30470696946899</v>
      </c>
      <c r="J11" s="11" t="n">
        <v>5587.22413795106</v>
      </c>
      <c r="K11" s="11" t="n">
        <v>6307.13348765642</v>
      </c>
    </row>
    <row r="12" customFormat="false" ht="17.15" hidden="false" customHeight="false" outlineLevel="0" collapsed="false">
      <c r="A12" s="2" t="s">
        <v>150</v>
      </c>
      <c r="B12" s="0" t="s">
        <v>149</v>
      </c>
      <c r="C12" s="0" t="n">
        <v>0.06</v>
      </c>
      <c r="D12" s="0" t="n">
        <v>0.08</v>
      </c>
      <c r="E12" s="14" t="n">
        <v>35.6052277645276</v>
      </c>
      <c r="F12" s="24" t="n">
        <v>-0.0125862529103427</v>
      </c>
      <c r="G12" s="24" t="n">
        <v>0.0125862529103455</v>
      </c>
      <c r="H12" s="14" t="n">
        <v>1.38858159209526</v>
      </c>
      <c r="I12" s="14" t="n">
        <v>1.38858159209526</v>
      </c>
      <c r="J12" s="11" t="n">
        <v>5947.17881280374</v>
      </c>
      <c r="K12" s="11" t="n">
        <v>5947.17881280374</v>
      </c>
    </row>
    <row r="13" customFormat="false" ht="17.15" hidden="false" customHeight="false" outlineLevel="0" collapsed="false">
      <c r="A13" s="0" t="s">
        <v>165</v>
      </c>
      <c r="B13" s="0" t="s">
        <v>164</v>
      </c>
      <c r="C13" s="0" t="n">
        <v>140</v>
      </c>
      <c r="D13" s="0" t="n">
        <v>200</v>
      </c>
      <c r="E13" s="14" t="n">
        <v>35.6052277645276</v>
      </c>
      <c r="F13" s="24" t="n">
        <v>0.0351974815290395</v>
      </c>
      <c r="G13" s="24" t="n">
        <v>-0.0351974815290366</v>
      </c>
      <c r="H13" s="14" t="n">
        <v>1.34551989212676</v>
      </c>
      <c r="I13" s="14" t="n">
        <v>1.43449069248758</v>
      </c>
      <c r="J13" s="11" t="n">
        <v>6525.4332962541</v>
      </c>
      <c r="K13" s="11" t="n">
        <v>5368.92432935339</v>
      </c>
    </row>
    <row r="14" customFormat="false" ht="17.15" hidden="false" customHeight="false" outlineLevel="0" collapsed="false">
      <c r="A14" s="0" t="s">
        <v>170</v>
      </c>
      <c r="B14" s="0" t="s">
        <v>169</v>
      </c>
      <c r="C14" s="0" t="n">
        <v>2700</v>
      </c>
      <c r="D14" s="0" t="n">
        <v>2900</v>
      </c>
      <c r="E14" s="14" t="n">
        <v>35.6052277645276</v>
      </c>
      <c r="F14" s="24" t="n">
        <v>0.0300172836485571</v>
      </c>
      <c r="G14" s="24" t="n">
        <v>-0.0300172836485541</v>
      </c>
      <c r="H14" s="14" t="n">
        <v>1.35304453022895</v>
      </c>
      <c r="I14" s="14" t="n">
        <v>1.42603573268244</v>
      </c>
      <c r="J14" s="11" t="n">
        <v>6322.07729981555</v>
      </c>
      <c r="K14" s="11" t="n">
        <v>5572.28032579193</v>
      </c>
    </row>
    <row r="15" customFormat="false" ht="17.15" hidden="false" customHeight="false" outlineLevel="0" collapsed="false">
      <c r="A15" s="2" t="s">
        <v>179</v>
      </c>
      <c r="B15" s="0" t="s">
        <v>178</v>
      </c>
      <c r="C15" s="0" t="n">
        <v>0</v>
      </c>
      <c r="D15" s="0" t="n">
        <v>0.03</v>
      </c>
      <c r="E15" s="14" t="n">
        <v>35.6052277645276</v>
      </c>
      <c r="F15" s="24" t="n">
        <v>-0.0182218687894246</v>
      </c>
      <c r="G15" s="24" t="n">
        <v>0.0169564233003501</v>
      </c>
      <c r="H15" s="14" t="n">
        <v>1.40430856113208</v>
      </c>
      <c r="I15" s="14" t="n">
        <v>1.37320297709583</v>
      </c>
      <c r="J15" s="11" t="n">
        <v>5947.17881280374</v>
      </c>
      <c r="K15" s="11" t="n">
        <v>5947.17881280374</v>
      </c>
    </row>
    <row r="16" customFormat="false" ht="15" hidden="false" customHeight="false" outlineLevel="0" collapsed="false">
      <c r="A16" s="2" t="s">
        <v>90</v>
      </c>
      <c r="B16" s="0" t="s">
        <v>89</v>
      </c>
      <c r="C16" s="0" t="n">
        <v>400</v>
      </c>
      <c r="D16" s="0" t="n">
        <v>1000</v>
      </c>
      <c r="E16" s="14" t="n">
        <v>35.6052277645276</v>
      </c>
      <c r="F16" s="24" t="n">
        <v>0.0012522780649229</v>
      </c>
      <c r="G16" s="24" t="n">
        <v>-0.00250455612984568</v>
      </c>
      <c r="H16" s="14" t="n">
        <v>1.38858159209526</v>
      </c>
      <c r="I16" s="14" t="n">
        <v>1.38858159209526</v>
      </c>
      <c r="J16" s="11" t="n">
        <v>5947.17881280374</v>
      </c>
      <c r="K16" s="11" t="n">
        <v>5947.17881280374</v>
      </c>
    </row>
    <row r="17" customFormat="false" ht="15" hidden="false" customHeight="false" outlineLevel="0" collapsed="false">
      <c r="A17" s="2" t="s">
        <v>87</v>
      </c>
      <c r="B17" s="0" t="s">
        <v>86</v>
      </c>
      <c r="C17" s="0" t="n">
        <v>0.75</v>
      </c>
      <c r="D17" s="0" t="n">
        <v>0.95</v>
      </c>
      <c r="E17" s="14" t="n">
        <v>35.6052277645276</v>
      </c>
      <c r="F17" s="24" t="n">
        <v>-0.00120568451884107</v>
      </c>
      <c r="G17" s="24" t="n">
        <v>0.000901896826451143</v>
      </c>
      <c r="H17" s="14" t="n">
        <v>1.38858159209526</v>
      </c>
      <c r="I17" s="14" t="n">
        <v>1.38858159209526</v>
      </c>
      <c r="J17" s="11" t="n">
        <v>5947.17881280374</v>
      </c>
      <c r="K17" s="11" t="n">
        <v>5947.17881280374</v>
      </c>
    </row>
    <row r="18" customFormat="false" ht="17.15" hidden="false" customHeight="false" outlineLevel="0" collapsed="false">
      <c r="A18" s="2" t="s">
        <v>382</v>
      </c>
      <c r="B18" s="0" t="s">
        <v>381</v>
      </c>
      <c r="C18" s="0" t="n">
        <v>0.01</v>
      </c>
      <c r="D18" s="0" t="n">
        <v>0.03</v>
      </c>
      <c r="E18" s="14" t="n">
        <v>35.6052277645276</v>
      </c>
      <c r="F18" s="24" t="n">
        <v>0.00931548361619927</v>
      </c>
      <c r="G18" s="24" t="n">
        <v>-0.00931548361619927</v>
      </c>
      <c r="H18" s="14" t="n">
        <v>1.38858159209526</v>
      </c>
      <c r="I18" s="14" t="n">
        <v>1.38858159209526</v>
      </c>
      <c r="J18" s="11" t="n">
        <v>6271.13802017115</v>
      </c>
      <c r="K18" s="11" t="n">
        <v>5623.21960543633</v>
      </c>
    </row>
    <row r="19" customFormat="false" ht="17.15" hidden="false" customHeight="false" outlineLevel="0" collapsed="false">
      <c r="A19" s="2" t="s">
        <v>390</v>
      </c>
      <c r="B19" s="0" t="s">
        <v>389</v>
      </c>
      <c r="C19" s="0" t="n">
        <v>0.005</v>
      </c>
      <c r="D19" s="0" t="n">
        <v>0.02</v>
      </c>
      <c r="E19" s="14" t="n">
        <v>35.6052277645276</v>
      </c>
      <c r="F19" s="24" t="n">
        <v>0.0103505373513342</v>
      </c>
      <c r="G19" s="24" t="n">
        <v>-0.0207010747026624</v>
      </c>
      <c r="H19" s="14" t="n">
        <v>1.38858159209526</v>
      </c>
      <c r="I19" s="14" t="n">
        <v>1.38858159209526</v>
      </c>
      <c r="J19" s="11" t="n">
        <v>6307.13348765642</v>
      </c>
      <c r="K19" s="11" t="n">
        <v>5220.34167181018</v>
      </c>
    </row>
    <row r="20" customFormat="false" ht="15" hidden="false" customHeight="false" outlineLevel="0" collapsed="false">
      <c r="A20" s="2" t="s">
        <v>393</v>
      </c>
      <c r="B20" s="0" t="s">
        <v>392</v>
      </c>
      <c r="C20" s="0" t="n">
        <v>1.8</v>
      </c>
      <c r="D20" s="0" t="n">
        <v>2.2</v>
      </c>
      <c r="E20" s="14" t="n">
        <v>35.6052277645276</v>
      </c>
      <c r="F20" s="24" t="n">
        <v>0.00207010747026692</v>
      </c>
      <c r="G20" s="24" t="n">
        <v>-0.0020701074702667</v>
      </c>
      <c r="H20" s="14" t="n">
        <v>1.38858159209526</v>
      </c>
      <c r="I20" s="14" t="n">
        <v>1.38858159209526</v>
      </c>
      <c r="J20" s="11" t="n">
        <v>6019.16974777428</v>
      </c>
      <c r="K20" s="11" t="n">
        <v>5875.18787783321</v>
      </c>
    </row>
    <row r="21" customFormat="false" ht="17.15" hidden="false" customHeight="false" outlineLevel="0" collapsed="false">
      <c r="A21" s="0" t="s">
        <v>242</v>
      </c>
      <c r="B21" s="0" t="s">
        <v>241</v>
      </c>
      <c r="C21" s="0" t="n">
        <v>0.12</v>
      </c>
      <c r="D21" s="0" t="n">
        <v>0.25</v>
      </c>
      <c r="E21" s="14" t="n">
        <v>35.6052277645276</v>
      </c>
      <c r="F21" s="24" t="n">
        <v>0.0260057190228478</v>
      </c>
      <c r="G21" s="24" t="n">
        <v>-0.0303400055266527</v>
      </c>
      <c r="H21" s="14" t="n">
        <v>1.38858159209526</v>
      </c>
      <c r="I21" s="14" t="n">
        <v>1.38858159209526</v>
      </c>
      <c r="J21" s="11" t="n">
        <v>6282.31203432174</v>
      </c>
      <c r="K21" s="11" t="n">
        <v>5556.19005436607</v>
      </c>
    </row>
    <row r="22" customFormat="false" ht="17.15" hidden="false" customHeight="false" outlineLevel="0" collapsed="false">
      <c r="A22" s="2" t="s">
        <v>244</v>
      </c>
      <c r="B22" s="0" t="s">
        <v>243</v>
      </c>
      <c r="C22" s="0" t="n">
        <v>0</v>
      </c>
      <c r="D22" s="0" t="n">
        <v>0.08</v>
      </c>
      <c r="E22" s="14" t="n">
        <v>35.6052277645276</v>
      </c>
      <c r="F22" s="24" t="n">
        <v>0.00203265393651564</v>
      </c>
      <c r="G22" s="24" t="n">
        <v>-0.00338775656085721</v>
      </c>
      <c r="H22" s="14" t="n">
        <v>1.38858159209526</v>
      </c>
      <c r="I22" s="14" t="n">
        <v>1.38858159209526</v>
      </c>
      <c r="J22" s="11" t="n">
        <v>6004.54657555656</v>
      </c>
      <c r="K22" s="11" t="n">
        <v>5852.27160446565</v>
      </c>
    </row>
    <row r="23" customFormat="false" ht="17.15" hidden="false" customHeight="false" outlineLevel="0" collapsed="false">
      <c r="A23" s="0" t="s">
        <v>255</v>
      </c>
      <c r="B23" s="0" t="s">
        <v>254</v>
      </c>
      <c r="C23" s="0" t="n">
        <v>10</v>
      </c>
      <c r="D23" s="0" t="n">
        <v>20</v>
      </c>
      <c r="E23" s="14" t="n">
        <v>35.6052277645276</v>
      </c>
      <c r="F23" s="24" t="n">
        <v>0</v>
      </c>
      <c r="G23" s="24" t="n">
        <v>0</v>
      </c>
      <c r="H23" s="14" t="n">
        <v>1.38858159209526</v>
      </c>
      <c r="I23" s="14" t="n">
        <v>1.38858159209526</v>
      </c>
      <c r="J23" s="11" t="n">
        <v>5589.76836280374</v>
      </c>
      <c r="K23" s="11" t="n">
        <v>6125.88403780374</v>
      </c>
    </row>
    <row r="24" customFormat="false" ht="17.15" hidden="false" customHeight="false" outlineLevel="0" collapsed="false">
      <c r="A24" s="0" t="s">
        <v>406</v>
      </c>
      <c r="B24" s="0" t="s">
        <v>405</v>
      </c>
      <c r="C24" s="0" t="n">
        <v>1.8</v>
      </c>
      <c r="D24" s="0" t="n">
        <v>3</v>
      </c>
      <c r="E24" s="14" t="n">
        <v>35.6052277645276</v>
      </c>
      <c r="F24" s="24" t="n">
        <v>0.191412535417899</v>
      </c>
      <c r="G24" s="24" t="n">
        <v>-0.0390211367846739</v>
      </c>
      <c r="H24" s="14" t="n">
        <v>1.38858159209526</v>
      </c>
      <c r="I24" s="14" t="n">
        <v>1.38858159209526</v>
      </c>
      <c r="J24" s="11" t="n">
        <v>5947.17881280374</v>
      </c>
      <c r="K24" s="11" t="n">
        <v>5947.17881280374</v>
      </c>
    </row>
    <row r="25" customFormat="false" ht="15" hidden="false" customHeight="false" outlineLevel="0" collapsed="false">
      <c r="A25" s="2" t="s">
        <v>419</v>
      </c>
      <c r="B25" s="0" t="s">
        <v>418</v>
      </c>
      <c r="C25" s="0" t="n">
        <v>0.02</v>
      </c>
      <c r="D25" s="0" t="n">
        <v>0.04</v>
      </c>
      <c r="E25" s="14" t="n">
        <v>35.6052277645276</v>
      </c>
      <c r="F25" s="24" t="n">
        <v>-0.0110680920789478</v>
      </c>
      <c r="G25" s="24" t="n">
        <v>0.0126831982049616</v>
      </c>
      <c r="H25" s="14" t="n">
        <v>1.38858159209526</v>
      </c>
      <c r="I25" s="14" t="n">
        <v>1.38858159209526</v>
      </c>
      <c r="J25" s="11" t="n">
        <v>5947.17881280374</v>
      </c>
      <c r="K25" s="11" t="n">
        <v>5947.17881280374</v>
      </c>
    </row>
    <row r="26" customFormat="false" ht="15" hidden="false" customHeight="false" outlineLevel="0" collapsed="false">
      <c r="A26" s="2" t="s">
        <v>428</v>
      </c>
      <c r="B26" s="0" t="s">
        <v>427</v>
      </c>
      <c r="C26" s="0" t="n">
        <v>1</v>
      </c>
      <c r="D26" s="0" t="n">
        <v>2</v>
      </c>
      <c r="E26" s="14" t="n">
        <v>35.6052277645276</v>
      </c>
      <c r="F26" s="24" t="n">
        <v>-0.241336406619176</v>
      </c>
      <c r="G26" s="24" t="n">
        <v>0.241336406619179</v>
      </c>
      <c r="H26" s="14" t="n">
        <v>1.38858159209526</v>
      </c>
      <c r="I26" s="14" t="n">
        <v>1.38858159209526</v>
      </c>
      <c r="J26" s="11" t="n">
        <v>5947.17881280374</v>
      </c>
      <c r="K26" s="11" t="n">
        <v>5947.17881280374</v>
      </c>
    </row>
    <row r="27" customFormat="false" ht="17.15" hidden="false" customHeight="false" outlineLevel="0" collapsed="false">
      <c r="A27" s="2" t="s">
        <v>205</v>
      </c>
      <c r="B27" s="0" t="s">
        <v>204</v>
      </c>
      <c r="C27" s="0" t="n">
        <v>55</v>
      </c>
      <c r="D27" s="0" t="n">
        <v>65</v>
      </c>
      <c r="E27" s="14" t="n">
        <v>35.6052277645276</v>
      </c>
      <c r="F27" s="24" t="n">
        <v>0.00467920535792166</v>
      </c>
      <c r="G27" s="24" t="n">
        <v>-0.00467920535791877</v>
      </c>
      <c r="H27" s="14" t="n">
        <v>1.38672720482985</v>
      </c>
      <c r="I27" s="14" t="n">
        <v>1.39043597936068</v>
      </c>
      <c r="J27" s="11" t="n">
        <v>6058.95140501886</v>
      </c>
      <c r="K27" s="11" t="n">
        <v>5835.40622058862</v>
      </c>
    </row>
    <row r="28" customFormat="false" ht="17.15" hidden="false" customHeight="false" outlineLevel="0" collapsed="false">
      <c r="A28" s="2" t="s">
        <v>290</v>
      </c>
      <c r="B28" s="0" t="s">
        <v>289</v>
      </c>
      <c r="C28" s="0" t="n">
        <v>0.0225</v>
      </c>
      <c r="D28" s="0" t="n">
        <v>0.035</v>
      </c>
      <c r="E28" s="14" t="n">
        <v>35.6052277645276</v>
      </c>
      <c r="F28" s="24" t="n">
        <v>0</v>
      </c>
      <c r="G28" s="24" t="n">
        <v>0</v>
      </c>
      <c r="H28" s="14" t="n">
        <v>1.38858159209526</v>
      </c>
      <c r="I28" s="14" t="n">
        <v>1.38858159209526</v>
      </c>
      <c r="J28" s="11" t="n">
        <v>5947.17881280374</v>
      </c>
      <c r="K28" s="11" t="n">
        <v>5947.17881280374</v>
      </c>
    </row>
    <row r="29" customFormat="false" ht="17.15" hidden="false" customHeight="false" outlineLevel="0" collapsed="false">
      <c r="A29" s="2" t="s">
        <v>125</v>
      </c>
      <c r="B29" s="0" t="s">
        <v>124</v>
      </c>
      <c r="C29" s="0" t="n">
        <v>2800</v>
      </c>
      <c r="D29" s="0" t="n">
        <v>3400</v>
      </c>
      <c r="E29" s="14" t="n">
        <v>35.6052277645276</v>
      </c>
      <c r="F29" s="24" t="n">
        <v>-0.00384000859062361</v>
      </c>
      <c r="G29" s="24" t="n">
        <v>0.00384000859062383</v>
      </c>
      <c r="H29" s="14" t="n">
        <v>1.38858159209526</v>
      </c>
      <c r="I29" s="14" t="n">
        <v>1.38858159209526</v>
      </c>
      <c r="J29" s="11" t="n">
        <v>5224.95933646211</v>
      </c>
      <c r="K29" s="11" t="n">
        <v>6669.39828914537</v>
      </c>
    </row>
    <row r="30" customFormat="false" ht="17.15" hidden="false" customHeight="false" outlineLevel="0" collapsed="false">
      <c r="A30" s="2" t="s">
        <v>155</v>
      </c>
      <c r="B30" s="0" t="s">
        <v>154</v>
      </c>
      <c r="C30" s="0" t="n">
        <v>0.05</v>
      </c>
      <c r="D30" s="0" t="n">
        <v>0.07</v>
      </c>
      <c r="E30" s="14" t="n">
        <v>35.6052277645276</v>
      </c>
      <c r="F30" s="24" t="n">
        <v>-0.00338408240841082</v>
      </c>
      <c r="G30" s="24" t="n">
        <v>0.0033840824084137</v>
      </c>
      <c r="H30" s="14" t="n">
        <v>1.38858159209526</v>
      </c>
      <c r="I30" s="14" t="n">
        <v>1.38858159209526</v>
      </c>
      <c r="J30" s="11" t="n">
        <v>5363.74234096658</v>
      </c>
      <c r="K30" s="11" t="n">
        <v>6530.61528464091</v>
      </c>
    </row>
    <row r="31" customFormat="false" ht="17.15" hidden="false" customHeight="false" outlineLevel="0" collapsed="false">
      <c r="A31" s="2" t="s">
        <v>99</v>
      </c>
      <c r="B31" s="0" t="s">
        <v>98</v>
      </c>
      <c r="C31" s="0" t="n">
        <v>0</v>
      </c>
      <c r="D31" s="0" t="n">
        <v>0.04</v>
      </c>
      <c r="E31" s="14" t="n">
        <v>35.6052277645276</v>
      </c>
      <c r="F31" s="24" t="n">
        <v>-0.0132437804839851</v>
      </c>
      <c r="G31" s="24" t="n">
        <v>0.013359782232979</v>
      </c>
      <c r="H31" s="14" t="n">
        <v>1.39800816796096</v>
      </c>
      <c r="I31" s="14" t="n">
        <v>1.37932458276002</v>
      </c>
      <c r="J31" s="11" t="n">
        <v>6127.74002539276</v>
      </c>
      <c r="K31" s="11" t="n">
        <v>5747.16364158854</v>
      </c>
    </row>
    <row r="33" customFormat="false" ht="15" hidden="false" customHeight="false" outlineLevel="0" collapsed="false">
      <c r="A33" s="2" t="s">
        <v>847</v>
      </c>
      <c r="C33" s="0" t="n">
        <v>35.6052277645276</v>
      </c>
    </row>
    <row r="34" customFormat="false" ht="17.15" hidden="false" customHeight="false" outlineLevel="0" collapsed="false">
      <c r="A34" s="2" t="s">
        <v>848</v>
      </c>
      <c r="C34" s="0" t="n">
        <v>1.38858159209526</v>
      </c>
    </row>
    <row r="35" customFormat="false" ht="17.15" hidden="false" customHeight="false" outlineLevel="0" collapsed="false">
      <c r="A35" s="2" t="s">
        <v>849</v>
      </c>
      <c r="C35" s="0" t="n">
        <v>5947.17881280374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0" t="s">
        <v>850</v>
      </c>
    </row>
    <row r="3" customFormat="false" ht="15" hidden="false" customHeight="false" outlineLevel="0" collapsed="false">
      <c r="A3" s="4" t="s">
        <v>851</v>
      </c>
      <c r="B3" s="4" t="s">
        <v>852</v>
      </c>
      <c r="C3" s="4" t="s">
        <v>853</v>
      </c>
      <c r="D3" s="4" t="s">
        <v>19</v>
      </c>
    </row>
    <row r="4" customFormat="false" ht="17.15" hidden="false" customHeight="false" outlineLevel="0" collapsed="false">
      <c r="A4" s="0" t="n">
        <v>1</v>
      </c>
      <c r="B4" s="0" t="s">
        <v>854</v>
      </c>
      <c r="C4" s="2" t="s">
        <v>855</v>
      </c>
      <c r="D4" s="0" t="s">
        <v>26</v>
      </c>
    </row>
    <row r="5" customFormat="false" ht="17.15" hidden="false" customHeight="false" outlineLevel="0" collapsed="false">
      <c r="A5" s="0" t="n">
        <v>2</v>
      </c>
      <c r="B5" s="0" t="s">
        <v>856</v>
      </c>
      <c r="C5" s="2" t="s">
        <v>857</v>
      </c>
      <c r="D5" s="0" t="s">
        <v>26</v>
      </c>
    </row>
    <row r="6" customFormat="false" ht="17.15" hidden="false" customHeight="false" outlineLevel="0" collapsed="false">
      <c r="A6" s="0" t="n">
        <v>3</v>
      </c>
      <c r="B6" s="0" t="s">
        <v>858</v>
      </c>
      <c r="C6" s="2" t="s">
        <v>859</v>
      </c>
      <c r="D6" s="0" t="s">
        <v>26</v>
      </c>
    </row>
    <row r="7" customFormat="false" ht="17.15" hidden="false" customHeight="false" outlineLevel="0" collapsed="false">
      <c r="A7" s="0" t="n">
        <v>4</v>
      </c>
      <c r="B7" s="0" t="s">
        <v>860</v>
      </c>
      <c r="C7" s="0" t="s">
        <v>861</v>
      </c>
      <c r="D7" s="0" t="s">
        <v>26</v>
      </c>
    </row>
    <row r="8" customFormat="false" ht="17.15" hidden="false" customHeight="false" outlineLevel="0" collapsed="false">
      <c r="A8" s="0" t="n">
        <v>5</v>
      </c>
      <c r="B8" s="0" t="s">
        <v>862</v>
      </c>
      <c r="C8" s="2" t="s">
        <v>863</v>
      </c>
      <c r="D8" s="0" t="s">
        <v>26</v>
      </c>
    </row>
    <row r="9" customFormat="false" ht="17.15" hidden="false" customHeight="false" outlineLevel="0" collapsed="false">
      <c r="A9" s="0" t="n">
        <v>6</v>
      </c>
      <c r="B9" s="0" t="s">
        <v>864</v>
      </c>
      <c r="C9" s="2" t="s">
        <v>865</v>
      </c>
      <c r="D9" s="0" t="s">
        <v>26</v>
      </c>
    </row>
    <row r="10" customFormat="false" ht="17.15" hidden="false" customHeight="false" outlineLevel="0" collapsed="false">
      <c r="A10" s="0" t="n">
        <v>7</v>
      </c>
      <c r="B10" s="0" t="s">
        <v>866</v>
      </c>
      <c r="C10" s="2" t="s">
        <v>867</v>
      </c>
      <c r="D10" s="0" t="s">
        <v>26</v>
      </c>
    </row>
    <row r="11" customFormat="false" ht="17.15" hidden="false" customHeight="false" outlineLevel="0" collapsed="false">
      <c r="A11" s="0" t="n">
        <v>8</v>
      </c>
      <c r="B11" s="0" t="s">
        <v>868</v>
      </c>
      <c r="C11" s="2" t="s">
        <v>869</v>
      </c>
      <c r="D11" s="0" t="s">
        <v>227</v>
      </c>
    </row>
    <row r="12" customFormat="false" ht="17.15" hidden="false" customHeight="false" outlineLevel="0" collapsed="false">
      <c r="A12" s="0" t="n">
        <v>9</v>
      </c>
      <c r="B12" s="0" t="s">
        <v>870</v>
      </c>
      <c r="C12" s="0" t="s">
        <v>871</v>
      </c>
      <c r="D12" s="0" t="s">
        <v>227</v>
      </c>
    </row>
    <row r="13" customFormat="false" ht="17.15" hidden="false" customHeight="false" outlineLevel="0" collapsed="false">
      <c r="A13" s="0" t="n">
        <v>10</v>
      </c>
      <c r="B13" s="0" t="s">
        <v>872</v>
      </c>
      <c r="C13" s="2" t="s">
        <v>873</v>
      </c>
      <c r="D13" s="0" t="s">
        <v>26</v>
      </c>
    </row>
    <row r="14" customFormat="false" ht="17.15" hidden="false" customHeight="false" outlineLevel="0" collapsed="false">
      <c r="A14" s="0" t="n">
        <v>11</v>
      </c>
      <c r="B14" s="0" t="s">
        <v>832</v>
      </c>
      <c r="C14" s="0" t="s">
        <v>874</v>
      </c>
      <c r="D14" s="0" t="s">
        <v>26</v>
      </c>
    </row>
    <row r="15" customFormat="false" ht="17.15" hidden="false" customHeight="false" outlineLevel="0" collapsed="false">
      <c r="A15" s="0" t="n">
        <v>12</v>
      </c>
      <c r="B15" s="0" t="s">
        <v>875</v>
      </c>
      <c r="C15" s="2" t="s">
        <v>876</v>
      </c>
      <c r="D15" s="0" t="s">
        <v>26</v>
      </c>
    </row>
    <row r="16" customFormat="false" ht="17.15" hidden="false" customHeight="false" outlineLevel="0" collapsed="false">
      <c r="A16" s="0" t="n">
        <v>13</v>
      </c>
      <c r="B16" s="0" t="s">
        <v>877</v>
      </c>
      <c r="C16" s="0" t="s">
        <v>878</v>
      </c>
      <c r="D16" s="0" t="s">
        <v>26</v>
      </c>
    </row>
    <row r="17" customFormat="false" ht="17.15" hidden="false" customHeight="false" outlineLevel="0" collapsed="false">
      <c r="A17" s="0" t="n">
        <v>14</v>
      </c>
      <c r="B17" s="0" t="s">
        <v>879</v>
      </c>
      <c r="C17" s="0" t="s">
        <v>880</v>
      </c>
      <c r="D17" s="0" t="s">
        <v>227</v>
      </c>
    </row>
    <row r="18" customFormat="false" ht="17.15" hidden="false" customHeight="false" outlineLevel="0" collapsed="false">
      <c r="A18" s="0" t="n">
        <v>15</v>
      </c>
      <c r="B18" s="0" t="s">
        <v>881</v>
      </c>
      <c r="C18" s="2" t="s">
        <v>882</v>
      </c>
      <c r="D18" s="0" t="s">
        <v>883</v>
      </c>
    </row>
    <row r="19" customFormat="false" ht="17.15" hidden="false" customHeight="false" outlineLevel="0" collapsed="false">
      <c r="A19" s="0" t="n">
        <v>16</v>
      </c>
      <c r="B19" s="0" t="s">
        <v>884</v>
      </c>
      <c r="C19" s="2" t="s">
        <v>885</v>
      </c>
      <c r="D19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2026-10-29T00:12:15Z</dcterms:created>
  <dc:creator>openpyxl</dc:creator>
  <dc:description/>
  <dc:language>en-US</dc:language>
  <cp:lastModifiedBy/>
  <dcterms:modified xsi:type="dcterms:W3CDTF">2026-10-29T00:12:15Z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